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il/Downloads/"/>
    </mc:Choice>
  </mc:AlternateContent>
  <xr:revisionPtr revIDLastSave="0" documentId="13_ncr:1_{9DDE321A-386F-604C-9D65-F819636A93E1}" xr6:coauthVersionLast="47" xr6:coauthVersionMax="47" xr10:uidLastSave="{00000000-0000-0000-0000-000000000000}"/>
  <bookViews>
    <workbookView xWindow="4120" yWindow="780" windowWidth="34280" windowHeight="24080" xr2:uid="{00000000-000D-0000-FFFF-FFFF00000000}"/>
  </bookViews>
  <sheets>
    <sheet name="stock_valuation_layer" sheetId="1" r:id="rId1"/>
    <sheet name="mrp_production" sheetId="2" r:id="rId2"/>
  </sheets>
  <definedNames>
    <definedName name="_xlnm._FilterDatabase" localSheetId="0" hidden="1">stock_valuation_layer!$A$1:$H$140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0" i="1" l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C135" i="2"/>
  <c r="C136" i="2" s="1"/>
  <c r="C137" i="2" s="1"/>
  <c r="C138" i="2" s="1"/>
  <c r="C134" i="2"/>
  <c r="B134" i="2"/>
  <c r="B135" i="2" s="1"/>
  <c r="B136" i="2" s="1"/>
  <c r="B137" i="2" s="1"/>
  <c r="B138" i="2" s="1"/>
  <c r="A134" i="2"/>
  <c r="A135" i="2" s="1"/>
  <c r="A136" i="2" s="1"/>
  <c r="A137" i="2" s="1"/>
  <c r="A138" i="2" s="1"/>
  <c r="B82" i="2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A80" i="2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C79" i="2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B79" i="2"/>
  <c r="B80" i="2" s="1"/>
  <c r="B81" i="2" s="1"/>
  <c r="A79" i="2"/>
  <c r="A76" i="2"/>
  <c r="A77" i="2" s="1"/>
  <c r="C75" i="2"/>
  <c r="C76" i="2" s="1"/>
  <c r="C77" i="2" s="1"/>
  <c r="A75" i="2"/>
  <c r="C74" i="2"/>
  <c r="B74" i="2"/>
  <c r="B75" i="2" s="1"/>
  <c r="B76" i="2" s="1"/>
  <c r="B77" i="2" s="1"/>
  <c r="A74" i="2"/>
  <c r="C53" i="2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B53" i="2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A52" i="2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51" i="2"/>
  <c r="C50" i="2"/>
  <c r="C51" i="2" s="1"/>
  <c r="C52" i="2" s="1"/>
  <c r="A50" i="2"/>
  <c r="C49" i="2"/>
  <c r="B49" i="2"/>
  <c r="B50" i="2" s="1"/>
  <c r="B51" i="2" s="1"/>
  <c r="B52" i="2" s="1"/>
  <c r="A49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C3" i="2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B3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</calcChain>
</file>

<file path=xl/sharedStrings.xml><?xml version="1.0" encoding="utf-8"?>
<sst xmlns="http://schemas.openxmlformats.org/spreadsheetml/2006/main" count="714" uniqueCount="158">
  <si>
    <t>Reference</t>
  </si>
  <si>
    <t>Product</t>
  </si>
  <si>
    <t>Product Category</t>
  </si>
  <si>
    <t>Quantity</t>
  </si>
  <si>
    <t>Unit of Measure</t>
  </si>
  <si>
    <t>Unit Value</t>
  </si>
  <si>
    <t>Total Value</t>
  </si>
  <si>
    <t>MK/MO/07016</t>
  </si>
  <si>
    <t>[9001268] Indian Basmati Rice - Ashoka - 20Kg</t>
  </si>
  <si>
    <t>Raw Materials / Rice</t>
  </si>
  <si>
    <t>Bag of 20kg</t>
  </si>
  <si>
    <t>[9001234] Vegetable Oil - 17L</t>
  </si>
  <si>
    <t>Raw Materials / Oil &amp; Ghee</t>
  </si>
  <si>
    <t>Tin of 17L -</t>
  </si>
  <si>
    <t>[9001122] Pure Ghee - 1600g</t>
  </si>
  <si>
    <t>Raw Materials / Diary &amp; Juice</t>
  </si>
  <si>
    <t>ctn of 6 Tin of 1600g</t>
  </si>
  <si>
    <t>[9001251] Chana Dal - 15Kg</t>
  </si>
  <si>
    <t>Raw Materials / Pulses</t>
  </si>
  <si>
    <t>Bag of 15kg</t>
  </si>
  <si>
    <t>[9001216] Sugar - 50kg</t>
  </si>
  <si>
    <t>Raw Materials / Grocery</t>
  </si>
  <si>
    <t>Bag of 50kg</t>
  </si>
  <si>
    <t>[9001336] Custard Powder - 400g</t>
  </si>
  <si>
    <t>ctn of 12 tin of 400g</t>
  </si>
  <si>
    <t>[9001172] Egg Jordan - 360 Pcs</t>
  </si>
  <si>
    <t>Raw Materials / Fresh Meat &amp; Poultry</t>
  </si>
  <si>
    <t>ctn of 12 tray of 30pcs</t>
  </si>
  <si>
    <t>[9001176] Food Colour - Yellow  100g</t>
  </si>
  <si>
    <t>ctn of 120Pkt of 100g</t>
  </si>
  <si>
    <t>[9001178] Golden Raisin - 10Kg</t>
  </si>
  <si>
    <t>Bag of 10kg</t>
  </si>
  <si>
    <t>[9001190] Kewra Water - 200ml</t>
  </si>
  <si>
    <t>Btl 200ml</t>
  </si>
  <si>
    <t>[9001192] Lemon Juice - 946ml</t>
  </si>
  <si>
    <t>ctn of 12 bottle of 946ml</t>
  </si>
  <si>
    <t>[9001194] Maida - 50kg</t>
  </si>
  <si>
    <t xml:space="preserve">[9001628] Milk Powder - Born Lite - 25Kg </t>
  </si>
  <si>
    <t>Bag of 25kg</t>
  </si>
  <si>
    <t xml:space="preserve">[9001518] Elbow Pasta - 400g </t>
  </si>
  <si>
    <t>ctn of 20 pkt of 400g</t>
  </si>
  <si>
    <t xml:space="preserve">[9001677] Penne Pasta - 400g </t>
  </si>
  <si>
    <t>[9001201] Peeled Tomato - 2.5Kg</t>
  </si>
  <si>
    <t>ctn of 6 tin of 2.55kg</t>
  </si>
  <si>
    <t>[9001210] Rose Water - 450ml</t>
  </si>
  <si>
    <t>ctn of 12Pcs of 450ml</t>
  </si>
  <si>
    <t>[9001212] Salt - 20Kg</t>
  </si>
  <si>
    <t>[9001160] Chicken Stock Powder - 1Kg</t>
  </si>
  <si>
    <t>ctn of 6 pkt of 1kg</t>
  </si>
  <si>
    <t>[9001222] Tomato Paste - 4.5Kg</t>
  </si>
  <si>
    <t>ctn of 6 of 4.5 kg</t>
  </si>
  <si>
    <t>[9001567] Liquid Jameed</t>
  </si>
  <si>
    <t>Pkt of 1kg</t>
  </si>
  <si>
    <t>[9001277] Bay Leaves - 1Kg</t>
  </si>
  <si>
    <t>Raw Materials / Spices</t>
  </si>
  <si>
    <t>kg</t>
  </si>
  <si>
    <t>[9001281] Black Pepper Whole</t>
  </si>
  <si>
    <t>[9001282] Cardamom - Kg</t>
  </si>
  <si>
    <t>[9001286] Cinnamon Stick - Kg</t>
  </si>
  <si>
    <t>[9001289] Corriender Whole</t>
  </si>
  <si>
    <t>[9001291] Cumin Seed - Kg</t>
  </si>
  <si>
    <t>[9001279] Black Lemon Whole - Kg</t>
  </si>
  <si>
    <t>[9001298] Jaithry  - Kg</t>
  </si>
  <si>
    <t>[9001189] Kasthoori Methi - Kg</t>
  </si>
  <si>
    <t>[9001302] Star Annise - Kg</t>
  </si>
  <si>
    <t>[9001283] Chicken Masala - Kg</t>
  </si>
  <si>
    <t>[9001284] Chilli Powder</t>
  </si>
  <si>
    <t>[9001285] Cinnamon Powder</t>
  </si>
  <si>
    <t>[9001288] Corriender Powder</t>
  </si>
  <si>
    <t>[9001290] Cumin Powder</t>
  </si>
  <si>
    <t>[9001296] Fish Masala - Kg</t>
  </si>
  <si>
    <t>[9001300] Meat Masala - kg</t>
  </si>
  <si>
    <t>[9001304] Turmeric Powder</t>
  </si>
  <si>
    <t>[9001115] Milk - Full Cream - Awal - 1Lx12pcs</t>
  </si>
  <si>
    <t>ctn of 12 pkt of 1L</t>
  </si>
  <si>
    <t>[9001137] Yoghurt - Awal - 10Kg</t>
  </si>
  <si>
    <t>Bucket of 10Kg</t>
  </si>
  <si>
    <t>[9001103] Cooking Cream - 1Ltr</t>
  </si>
  <si>
    <t>[9001147] Frozen Green Peas - 2.5kg</t>
  </si>
  <si>
    <t>Raw Materials / Frozen Vegetables</t>
  </si>
  <si>
    <t>ctn of 4 pkt of 2.5kg</t>
  </si>
  <si>
    <t>[9001148] Mix Veg - 2.5Kg</t>
  </si>
  <si>
    <t>[9001243] Chicken Cheese Stick - 5Kg</t>
  </si>
  <si>
    <t>Raw Materials / Processed Meat &amp; Poultry</t>
  </si>
  <si>
    <t>ctn of 5 pkt of 1kg</t>
  </si>
  <si>
    <t>[MK5001025] Riffa Consumption</t>
  </si>
  <si>
    <t>Maameer Consumption</t>
  </si>
  <si>
    <t>Units</t>
  </si>
  <si>
    <t>MK/MO/07017</t>
  </si>
  <si>
    <t xml:space="preserve">[9001463] Basmati Rice - Pappaya - 20Kg </t>
  </si>
  <si>
    <t>[9001270] Kuruva Rice - 30Kg</t>
  </si>
  <si>
    <t>Bag of 30kg</t>
  </si>
  <si>
    <t>[9001107] Ghee - 1 Ltr</t>
  </si>
  <si>
    <t>[9001260] Masoor Dal - 15Kg</t>
  </si>
  <si>
    <t>[9001249] Black Eye Beans - 15Kg</t>
  </si>
  <si>
    <t>[9001331] Pappad - Madras - 100g</t>
  </si>
  <si>
    <t>ctn of 40 pkt of 100g</t>
  </si>
  <si>
    <t>[9001163] Cocunut Peera</t>
  </si>
  <si>
    <t>[9001317] LG Powder 100g</t>
  </si>
  <si>
    <t>Pcs</t>
  </si>
  <si>
    <t xml:space="preserve">[9001651] Ajinomoto - 400g </t>
  </si>
  <si>
    <t>ctn of 50 pkt of 400gm</t>
  </si>
  <si>
    <t>[9001303] Tamarind - 20Kg</t>
  </si>
  <si>
    <t>[9001293] Dry Chilly Long - Stemless - Kg</t>
  </si>
  <si>
    <t>[9001294] Fennel Seed - Kg</t>
  </si>
  <si>
    <t>[9001143] Cut Beans - 2.5Kg</t>
  </si>
  <si>
    <t>[9001146] Frozen Cauliflower - 2.5Kg</t>
  </si>
  <si>
    <t>MK/MO/07018</t>
  </si>
  <si>
    <t>[9001002] Dishwash - 30L</t>
  </si>
  <si>
    <t>Cleaning &amp; Hygienic Materials</t>
  </si>
  <si>
    <t>Can of 30L</t>
  </si>
  <si>
    <t>[9001351] Clorox 30L</t>
  </si>
  <si>
    <t>Packing Materials</t>
  </si>
  <si>
    <t>[9001013] Vinyl Hand Gloves Blue - 100Pcs</t>
  </si>
  <si>
    <t>ctn of 10 pkt of 100pcs</t>
  </si>
  <si>
    <t>[9001422] Maxi Roll - 750g</t>
  </si>
  <si>
    <t>ctn of 6pcs</t>
  </si>
  <si>
    <t>[9001004] Garbage Bag - 70gal - 30Pcs</t>
  </si>
  <si>
    <t>ctn of 12 pkt</t>
  </si>
  <si>
    <t>[MK5001001] Maameer General Consumption</t>
  </si>
  <si>
    <t>MK/MO/06984</t>
  </si>
  <si>
    <t>[9001266] Basmati Rice - Al Khairth - 20Kg</t>
  </si>
  <si>
    <t>[9001272] Sella Rice - Al Furat - 20Kg</t>
  </si>
  <si>
    <t>[9001155] Black Salt - Kg</t>
  </si>
  <si>
    <t xml:space="preserve">[9001578] Cashew Nut LP Broken - 20Kg </t>
  </si>
  <si>
    <t>[9001166] Corn Flour - 25Kg</t>
  </si>
  <si>
    <t>[9001372] Food Colour - Red</t>
  </si>
  <si>
    <t>[9001184] Hot Sauce - 4.5Kg</t>
  </si>
  <si>
    <t>ctn of 4 can of 4.45kg</t>
  </si>
  <si>
    <t>[9001374] Tomato Ketchup - Premium - 5Kg</t>
  </si>
  <si>
    <t>ctn of 4 tin of 5kg</t>
  </si>
  <si>
    <t>[9001153] Beef Stock Powder - 6x1Kg</t>
  </si>
  <si>
    <t>[9001330] Premium Tea 10kg</t>
  </si>
  <si>
    <t>ctn of 2 Pkt of 5kg</t>
  </si>
  <si>
    <t>[9001228] White Vinegar - 1gal</t>
  </si>
  <si>
    <t>ctn of 4gal</t>
  </si>
  <si>
    <t>[9001287] Cloves - Kg</t>
  </si>
  <si>
    <t>[9001295] Fenugreek Seed - Kg</t>
  </si>
  <si>
    <t>[9001301] Mustard Seed - Kg</t>
  </si>
  <si>
    <t>[9001129] Slice Cheese - 1290gx10pkt</t>
  </si>
  <si>
    <t>ctn of 10 pkt of 118pcs</t>
  </si>
  <si>
    <t>[9001145] French Fries 9mm - 2.5Kg</t>
  </si>
  <si>
    <t>[9001242] Chicken Burger - 1Kgx9pkt</t>
  </si>
  <si>
    <t>ctn of 9 pkt of 1kg</t>
  </si>
  <si>
    <t>[9001240] Breaded Chicken Fillet - 1Kg</t>
  </si>
  <si>
    <t>ctn of 10 pkt of 1kg (1000g)</t>
  </si>
  <si>
    <t>[MK5001026] Jau Consumption</t>
  </si>
  <si>
    <t>MK/MO/07019</t>
  </si>
  <si>
    <t>[9001008] Hand Towel Inter fold - 24 Pkt</t>
  </si>
  <si>
    <t>ctn of 24 Pcs</t>
  </si>
  <si>
    <t>[9001021] Aluminium Foil - 30cmx150m</t>
  </si>
  <si>
    <t>[9001054] Paper Cup - 7Oz - 1000Pcs</t>
  </si>
  <si>
    <t>ctn of 20 pkt of 50pcs</t>
  </si>
  <si>
    <t>Consumption Date</t>
  </si>
  <si>
    <t>Components/Product</t>
  </si>
  <si>
    <t>Components/Quantity</t>
  </si>
  <si>
    <t>[9001431] Sun White Rice</t>
  </si>
  <si>
    <t>[9001383] Water Cup - 7Oz - 1000Pcs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</si>
</sst>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4" fontId="0" fillId="0" borderId="0" xfId="0" applyNumberFormat="1"/>
    <xf numFmtId="164" fontId="0" fillId="0" borderId="0" xfId="0" applyNumberFormat="1"/>
    <xf numFmtId="4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0"/>
  <sheetViews>
    <sheetView tabSelected="1" workbookViewId="0">
      <selection activeCell="F36" sqref="F36"/>
    </sheetView>
  </sheetViews>
  <sheetFormatPr baseColWidth="10" defaultColWidth="8.83203125" defaultRowHeight="15" x14ac:dyDescent="0.2"/>
  <cols>
    <col min="1" max="1" width="12.6640625" bestFit="1" customWidth="1"/>
    <col min="2" max="2" width="15.5" style="3" bestFit="1" customWidth="1"/>
    <col min="3" max="3" width="36.5" bestFit="1" customWidth="1"/>
    <col min="4" max="4" width="33" bestFit="1" customWidth="1"/>
    <col min="5" max="5" width="8" bestFit="1" customWidth="1"/>
    <col min="6" max="6" width="22" bestFit="1" customWidth="1"/>
    <col min="7" max="7" width="9.33203125" bestFit="1" customWidth="1"/>
    <col min="8" max="8" width="9.83203125" bestFit="1" customWidth="1"/>
  </cols>
  <sheetData>
    <row r="1" spans="1:8" x14ac:dyDescent="0.2">
      <c r="A1" s="1" t="s">
        <v>0</v>
      </c>
      <c r="B1" s="2" t="s">
        <v>153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t="s">
        <v>7</v>
      </c>
      <c r="B2" s="3">
        <f>_xlfn.XLOOKUP(A2,mrp_production!A:A,mrp_production!C:C)</f>
        <v>45942</v>
      </c>
      <c r="C2" t="s">
        <v>8</v>
      </c>
      <c r="D2" t="s">
        <v>9</v>
      </c>
      <c r="E2" s="4">
        <v>-14</v>
      </c>
      <c r="F2" t="s">
        <v>10</v>
      </c>
      <c r="G2" s="4">
        <v>9.8000000000000007</v>
      </c>
      <c r="H2" s="5">
        <v>-137.19999999999999</v>
      </c>
    </row>
    <row r="3" spans="1:8" x14ac:dyDescent="0.2">
      <c r="A3" t="s">
        <v>7</v>
      </c>
      <c r="B3" s="3">
        <f>_xlfn.XLOOKUP(A3,mrp_production!A:A,mrp_production!C:C)</f>
        <v>45942</v>
      </c>
      <c r="C3" t="s">
        <v>11</v>
      </c>
      <c r="D3" t="s">
        <v>12</v>
      </c>
      <c r="E3" s="4">
        <v>-4</v>
      </c>
      <c r="F3" t="s">
        <v>13</v>
      </c>
      <c r="G3" s="4">
        <v>8.1999999999999993</v>
      </c>
      <c r="H3" s="5">
        <v>-32.799999999999997</v>
      </c>
    </row>
    <row r="4" spans="1:8" x14ac:dyDescent="0.2">
      <c r="A4" t="s">
        <v>7</v>
      </c>
      <c r="B4" s="3">
        <f>_xlfn.XLOOKUP(A4,mrp_production!A:A,mrp_production!C:C)</f>
        <v>45942</v>
      </c>
      <c r="C4" t="s">
        <v>14</v>
      </c>
      <c r="D4" t="s">
        <v>15</v>
      </c>
      <c r="E4" s="4">
        <v>-0.5</v>
      </c>
      <c r="F4" t="s">
        <v>16</v>
      </c>
      <c r="G4" s="4">
        <v>36.5</v>
      </c>
      <c r="H4" s="5">
        <v>-18.25</v>
      </c>
    </row>
    <row r="5" spans="1:8" x14ac:dyDescent="0.2">
      <c r="A5" t="s">
        <v>7</v>
      </c>
      <c r="B5" s="3">
        <f>_xlfn.XLOOKUP(A5,mrp_production!A:A,mrp_production!C:C)</f>
        <v>45942</v>
      </c>
      <c r="C5" t="s">
        <v>17</v>
      </c>
      <c r="D5" t="s">
        <v>18</v>
      </c>
      <c r="E5" s="4">
        <v>-0.13300000000000001</v>
      </c>
      <c r="F5" t="s">
        <v>19</v>
      </c>
      <c r="G5" s="4">
        <v>5.3979999999999997</v>
      </c>
      <c r="H5" s="5">
        <v>-0.71799999999999997</v>
      </c>
    </row>
    <row r="6" spans="1:8" x14ac:dyDescent="0.2">
      <c r="A6" t="s">
        <v>7</v>
      </c>
      <c r="B6" s="3">
        <f>_xlfn.XLOOKUP(A6,mrp_production!A:A,mrp_production!C:C)</f>
        <v>45942</v>
      </c>
      <c r="C6" t="s">
        <v>20</v>
      </c>
      <c r="D6" t="s">
        <v>21</v>
      </c>
      <c r="E6" s="4">
        <v>-1</v>
      </c>
      <c r="F6" t="s">
        <v>22</v>
      </c>
      <c r="G6" s="4">
        <v>11.5</v>
      </c>
      <c r="H6" s="5">
        <v>-11.5</v>
      </c>
    </row>
    <row r="7" spans="1:8" x14ac:dyDescent="0.2">
      <c r="A7" t="s">
        <v>7</v>
      </c>
      <c r="B7" s="3">
        <f>_xlfn.XLOOKUP(A7,mrp_production!A:A,mrp_production!C:C)</f>
        <v>45942</v>
      </c>
      <c r="C7" t="s">
        <v>23</v>
      </c>
      <c r="D7" t="s">
        <v>21</v>
      </c>
      <c r="E7" s="4">
        <v>-1</v>
      </c>
      <c r="F7" t="s">
        <v>24</v>
      </c>
      <c r="G7" s="4">
        <v>12.4</v>
      </c>
      <c r="H7" s="5">
        <v>-12.4</v>
      </c>
    </row>
    <row r="8" spans="1:8" x14ac:dyDescent="0.2">
      <c r="A8" t="s">
        <v>7</v>
      </c>
      <c r="B8" s="3">
        <f>_xlfn.XLOOKUP(A8,mrp_production!A:A,mrp_production!C:C)</f>
        <v>45942</v>
      </c>
      <c r="C8" t="s">
        <v>25</v>
      </c>
      <c r="D8" t="s">
        <v>26</v>
      </c>
      <c r="E8" s="4">
        <v>-0.16700000000000001</v>
      </c>
      <c r="F8" t="s">
        <v>27</v>
      </c>
      <c r="G8" s="4">
        <v>19</v>
      </c>
      <c r="H8" s="5">
        <v>-3.173</v>
      </c>
    </row>
    <row r="9" spans="1:8" x14ac:dyDescent="0.2">
      <c r="A9" t="s">
        <v>7</v>
      </c>
      <c r="B9" s="3">
        <f>_xlfn.XLOOKUP(A9,mrp_production!A:A,mrp_production!C:C)</f>
        <v>45942</v>
      </c>
      <c r="C9" t="s">
        <v>28</v>
      </c>
      <c r="D9" t="s">
        <v>21</v>
      </c>
      <c r="E9" s="4">
        <v>-1.7000000000000001E-2</v>
      </c>
      <c r="F9" t="s">
        <v>29</v>
      </c>
      <c r="G9" s="4">
        <v>33.176000000000002</v>
      </c>
      <c r="H9" s="5">
        <v>-0.56399999999999995</v>
      </c>
    </row>
    <row r="10" spans="1:8" x14ac:dyDescent="0.2">
      <c r="A10" t="s">
        <v>7</v>
      </c>
      <c r="B10" s="3">
        <f>_xlfn.XLOOKUP(A10,mrp_production!A:A,mrp_production!C:C)</f>
        <v>45942</v>
      </c>
      <c r="C10" t="s">
        <v>30</v>
      </c>
      <c r="D10" t="s">
        <v>21</v>
      </c>
      <c r="E10" s="4">
        <v>-0.15</v>
      </c>
      <c r="F10" t="s">
        <v>31</v>
      </c>
      <c r="G10" s="4">
        <v>10.6</v>
      </c>
      <c r="H10" s="5">
        <v>-1.59</v>
      </c>
    </row>
    <row r="11" spans="1:8" x14ac:dyDescent="0.2">
      <c r="A11" t="s">
        <v>7</v>
      </c>
      <c r="B11" s="3">
        <f>_xlfn.XLOOKUP(A11,mrp_production!A:A,mrp_production!C:C)</f>
        <v>45942</v>
      </c>
      <c r="C11" t="s">
        <v>32</v>
      </c>
      <c r="D11" t="s">
        <v>21</v>
      </c>
      <c r="E11" s="4">
        <v>-2</v>
      </c>
      <c r="F11" t="s">
        <v>33</v>
      </c>
      <c r="G11" s="4">
        <v>0.65</v>
      </c>
      <c r="H11" s="5">
        <v>-1.3</v>
      </c>
    </row>
    <row r="12" spans="1:8" x14ac:dyDescent="0.2">
      <c r="A12" t="s">
        <v>7</v>
      </c>
      <c r="B12" s="3">
        <f>_xlfn.XLOOKUP(A12,mrp_production!A:A,mrp_production!C:C)</f>
        <v>45942</v>
      </c>
      <c r="C12" t="s">
        <v>34</v>
      </c>
      <c r="D12" t="s">
        <v>21</v>
      </c>
      <c r="E12" s="4">
        <v>-0.41699999999999998</v>
      </c>
      <c r="F12" t="s">
        <v>35</v>
      </c>
      <c r="G12" s="4">
        <v>5.2009999999999996</v>
      </c>
      <c r="H12" s="5">
        <v>-2.169</v>
      </c>
    </row>
    <row r="13" spans="1:8" x14ac:dyDescent="0.2">
      <c r="A13" t="s">
        <v>7</v>
      </c>
      <c r="B13" s="3">
        <f>_xlfn.XLOOKUP(A13,mrp_production!A:A,mrp_production!C:C)</f>
        <v>45942</v>
      </c>
      <c r="C13" t="s">
        <v>36</v>
      </c>
      <c r="D13" t="s">
        <v>21</v>
      </c>
      <c r="E13" s="4">
        <v>-0.1</v>
      </c>
      <c r="F13" t="s">
        <v>22</v>
      </c>
      <c r="G13" s="4">
        <v>3.7</v>
      </c>
      <c r="H13" s="5">
        <v>-0.37</v>
      </c>
    </row>
    <row r="14" spans="1:8" x14ac:dyDescent="0.2">
      <c r="A14" t="s">
        <v>7</v>
      </c>
      <c r="B14" s="3">
        <f>_xlfn.XLOOKUP(A14,mrp_production!A:A,mrp_production!C:C)</f>
        <v>45942</v>
      </c>
      <c r="C14" t="s">
        <v>37</v>
      </c>
      <c r="D14" t="s">
        <v>21</v>
      </c>
      <c r="E14" s="4">
        <v>-1</v>
      </c>
      <c r="F14" t="s">
        <v>38</v>
      </c>
      <c r="G14" s="4">
        <v>20.5</v>
      </c>
      <c r="H14" s="5">
        <v>-20.5</v>
      </c>
    </row>
    <row r="15" spans="1:8" x14ac:dyDescent="0.2">
      <c r="A15" t="s">
        <v>7</v>
      </c>
      <c r="B15" s="3">
        <f>_xlfn.XLOOKUP(A15,mrp_production!A:A,mrp_production!C:C)</f>
        <v>45942</v>
      </c>
      <c r="C15" t="s">
        <v>39</v>
      </c>
      <c r="D15" t="s">
        <v>21</v>
      </c>
      <c r="E15" s="4">
        <v>-1</v>
      </c>
      <c r="F15" t="s">
        <v>40</v>
      </c>
      <c r="G15" s="4">
        <v>4.1399999999999997</v>
      </c>
      <c r="H15" s="5">
        <v>-4.1399999999999997</v>
      </c>
    </row>
    <row r="16" spans="1:8" x14ac:dyDescent="0.2">
      <c r="A16" t="s">
        <v>7</v>
      </c>
      <c r="B16" s="3">
        <f>_xlfn.XLOOKUP(A16,mrp_production!A:A,mrp_production!C:C)</f>
        <v>45942</v>
      </c>
      <c r="C16" t="s">
        <v>41</v>
      </c>
      <c r="D16" t="s">
        <v>21</v>
      </c>
      <c r="E16" s="4">
        <v>-0.7</v>
      </c>
      <c r="F16" t="s">
        <v>40</v>
      </c>
      <c r="G16" s="4">
        <v>4.13</v>
      </c>
      <c r="H16" s="5">
        <v>-2.891</v>
      </c>
    </row>
    <row r="17" spans="1:8" x14ac:dyDescent="0.2">
      <c r="A17" t="s">
        <v>7</v>
      </c>
      <c r="B17" s="3">
        <f>_xlfn.XLOOKUP(A17,mrp_production!A:A,mrp_production!C:C)</f>
        <v>45942</v>
      </c>
      <c r="C17" t="s">
        <v>42</v>
      </c>
      <c r="D17" t="s">
        <v>21</v>
      </c>
      <c r="E17" s="4">
        <v>-1</v>
      </c>
      <c r="F17" t="s">
        <v>43</v>
      </c>
      <c r="G17" s="4">
        <v>7.5</v>
      </c>
      <c r="H17" s="5">
        <v>-7.5</v>
      </c>
    </row>
    <row r="18" spans="1:8" x14ac:dyDescent="0.2">
      <c r="A18" t="s">
        <v>7</v>
      </c>
      <c r="B18" s="3">
        <f>_xlfn.XLOOKUP(A18,mrp_production!A:A,mrp_production!C:C)</f>
        <v>45942</v>
      </c>
      <c r="C18" t="s">
        <v>44</v>
      </c>
      <c r="D18" t="s">
        <v>21</v>
      </c>
      <c r="E18" s="4">
        <v>-0.83299999999999996</v>
      </c>
      <c r="F18" t="s">
        <v>45</v>
      </c>
      <c r="G18" s="4">
        <v>1.556</v>
      </c>
      <c r="H18" s="5">
        <v>-1.296</v>
      </c>
    </row>
    <row r="19" spans="1:8" x14ac:dyDescent="0.2">
      <c r="A19" t="s">
        <v>7</v>
      </c>
      <c r="B19" s="3">
        <f>_xlfn.XLOOKUP(A19,mrp_production!A:A,mrp_production!C:C)</f>
        <v>45942</v>
      </c>
      <c r="C19" t="s">
        <v>46</v>
      </c>
      <c r="D19" t="s">
        <v>21</v>
      </c>
      <c r="E19" s="4">
        <v>-1</v>
      </c>
      <c r="F19" t="s">
        <v>10</v>
      </c>
      <c r="G19" s="4">
        <v>0.9</v>
      </c>
      <c r="H19" s="5">
        <v>-0.9</v>
      </c>
    </row>
    <row r="20" spans="1:8" x14ac:dyDescent="0.2">
      <c r="A20" t="s">
        <v>7</v>
      </c>
      <c r="B20" s="3">
        <f>_xlfn.XLOOKUP(A20,mrp_production!A:A,mrp_production!C:C)</f>
        <v>45942</v>
      </c>
      <c r="C20" t="s">
        <v>47</v>
      </c>
      <c r="D20" t="s">
        <v>21</v>
      </c>
      <c r="E20" s="4">
        <v>-0.16700000000000001</v>
      </c>
      <c r="F20" t="s">
        <v>48</v>
      </c>
      <c r="G20" s="4">
        <v>15.467000000000001</v>
      </c>
      <c r="H20" s="5">
        <v>-2.5830000000000002</v>
      </c>
    </row>
    <row r="21" spans="1:8" x14ac:dyDescent="0.2">
      <c r="A21" t="s">
        <v>7</v>
      </c>
      <c r="B21" s="3">
        <f>_xlfn.XLOOKUP(A21,mrp_production!A:A,mrp_production!C:C)</f>
        <v>45942</v>
      </c>
      <c r="C21" t="s">
        <v>49</v>
      </c>
      <c r="D21" t="s">
        <v>21</v>
      </c>
      <c r="E21" s="4">
        <v>-0.33300000000000002</v>
      </c>
      <c r="F21" t="s">
        <v>50</v>
      </c>
      <c r="G21" s="4">
        <v>9.7870000000000008</v>
      </c>
      <c r="H21" s="5">
        <v>-3.2589999999999999</v>
      </c>
    </row>
    <row r="22" spans="1:8" x14ac:dyDescent="0.2">
      <c r="A22" t="s">
        <v>7</v>
      </c>
      <c r="B22" s="3">
        <f>_xlfn.XLOOKUP(A22,mrp_production!A:A,mrp_production!C:C)</f>
        <v>45942</v>
      </c>
      <c r="C22" t="s">
        <v>51</v>
      </c>
      <c r="D22" t="s">
        <v>15</v>
      </c>
      <c r="E22" s="4">
        <v>-3</v>
      </c>
      <c r="F22" t="s">
        <v>52</v>
      </c>
      <c r="G22" s="4">
        <v>2.5449999999999999</v>
      </c>
      <c r="H22" s="5">
        <v>-7.6349999999999998</v>
      </c>
    </row>
    <row r="23" spans="1:8" x14ac:dyDescent="0.2">
      <c r="A23" t="s">
        <v>7</v>
      </c>
      <c r="B23" s="3">
        <f>_xlfn.XLOOKUP(A23,mrp_production!A:A,mrp_production!C:C)</f>
        <v>45942</v>
      </c>
      <c r="C23" t="s">
        <v>53</v>
      </c>
      <c r="D23" t="s">
        <v>54</v>
      </c>
      <c r="E23" s="4">
        <v>-0.2</v>
      </c>
      <c r="F23" t="s">
        <v>55</v>
      </c>
      <c r="G23" s="4">
        <v>0.65500000000000003</v>
      </c>
      <c r="H23" s="5">
        <v>-0.13100000000000001</v>
      </c>
    </row>
    <row r="24" spans="1:8" x14ac:dyDescent="0.2">
      <c r="A24" t="s">
        <v>7</v>
      </c>
      <c r="B24" s="3">
        <f>_xlfn.XLOOKUP(A24,mrp_production!A:A,mrp_production!C:C)</f>
        <v>45942</v>
      </c>
      <c r="C24" t="s">
        <v>56</v>
      </c>
      <c r="D24" t="s">
        <v>54</v>
      </c>
      <c r="E24" s="4">
        <v>-0.8</v>
      </c>
      <c r="F24" t="s">
        <v>55</v>
      </c>
      <c r="G24" s="4">
        <v>3</v>
      </c>
      <c r="H24" s="5">
        <v>-2.4</v>
      </c>
    </row>
    <row r="25" spans="1:8" x14ac:dyDescent="0.2">
      <c r="A25" t="s">
        <v>7</v>
      </c>
      <c r="B25" s="3">
        <f>_xlfn.XLOOKUP(A25,mrp_production!A:A,mrp_production!C:C)</f>
        <v>45942</v>
      </c>
      <c r="C25" t="s">
        <v>57</v>
      </c>
      <c r="D25" t="s">
        <v>54</v>
      </c>
      <c r="E25" s="4">
        <v>-0.4</v>
      </c>
      <c r="F25" t="s">
        <v>55</v>
      </c>
      <c r="G25" s="4">
        <v>16.48</v>
      </c>
      <c r="H25" s="5">
        <v>-6.5919999999999996</v>
      </c>
    </row>
    <row r="26" spans="1:8" x14ac:dyDescent="0.2">
      <c r="A26" t="s">
        <v>7</v>
      </c>
      <c r="B26" s="3">
        <f>_xlfn.XLOOKUP(A26,mrp_production!A:A,mrp_production!C:C)</f>
        <v>45942</v>
      </c>
      <c r="C26" t="s">
        <v>58</v>
      </c>
      <c r="D26" t="s">
        <v>54</v>
      </c>
      <c r="E26" s="4">
        <v>-0.8</v>
      </c>
      <c r="F26" t="s">
        <v>55</v>
      </c>
      <c r="G26" s="4">
        <v>1.133</v>
      </c>
      <c r="H26" s="5">
        <v>-0.90600000000000003</v>
      </c>
    </row>
    <row r="27" spans="1:8" x14ac:dyDescent="0.2">
      <c r="A27" t="s">
        <v>7</v>
      </c>
      <c r="B27" s="3">
        <f>_xlfn.XLOOKUP(A27,mrp_production!A:A,mrp_production!C:C)</f>
        <v>45942</v>
      </c>
      <c r="C27" t="s">
        <v>59</v>
      </c>
      <c r="D27" t="s">
        <v>54</v>
      </c>
      <c r="E27" s="4">
        <v>-0.4</v>
      </c>
      <c r="F27" t="s">
        <v>55</v>
      </c>
      <c r="G27" s="4">
        <v>0.55000000000000004</v>
      </c>
      <c r="H27" s="5">
        <v>-0.22</v>
      </c>
    </row>
    <row r="28" spans="1:8" x14ac:dyDescent="0.2">
      <c r="A28" t="s">
        <v>7</v>
      </c>
      <c r="B28" s="3">
        <f>_xlfn.XLOOKUP(A28,mrp_production!A:A,mrp_production!C:C)</f>
        <v>45942</v>
      </c>
      <c r="C28" t="s">
        <v>60</v>
      </c>
      <c r="D28" t="s">
        <v>54</v>
      </c>
      <c r="E28" s="4">
        <v>-0.3</v>
      </c>
      <c r="F28" t="s">
        <v>55</v>
      </c>
      <c r="G28" s="4">
        <v>1.04</v>
      </c>
      <c r="H28" s="5">
        <v>-0.312</v>
      </c>
    </row>
    <row r="29" spans="1:8" x14ac:dyDescent="0.2">
      <c r="A29" t="s">
        <v>7</v>
      </c>
      <c r="B29" s="3">
        <f>_xlfn.XLOOKUP(A29,mrp_production!A:A,mrp_production!C:C)</f>
        <v>45942</v>
      </c>
      <c r="C29" t="s">
        <v>61</v>
      </c>
      <c r="D29" t="s">
        <v>54</v>
      </c>
      <c r="E29" s="4">
        <v>-0.6</v>
      </c>
      <c r="F29" t="s">
        <v>55</v>
      </c>
      <c r="G29" s="4">
        <v>1.133</v>
      </c>
      <c r="H29" s="5">
        <v>-0.68</v>
      </c>
    </row>
    <row r="30" spans="1:8" x14ac:dyDescent="0.2">
      <c r="A30" t="s">
        <v>7</v>
      </c>
      <c r="B30" s="3">
        <f>_xlfn.XLOOKUP(A30,mrp_production!A:A,mrp_production!C:C)</f>
        <v>45942</v>
      </c>
      <c r="C30" t="s">
        <v>62</v>
      </c>
      <c r="D30" t="s">
        <v>54</v>
      </c>
      <c r="E30" s="4">
        <v>-0.1</v>
      </c>
      <c r="F30" t="s">
        <v>55</v>
      </c>
      <c r="G30" s="4">
        <v>14.42</v>
      </c>
      <c r="H30" s="5">
        <v>-1.4419999999999999</v>
      </c>
    </row>
    <row r="31" spans="1:8" x14ac:dyDescent="0.2">
      <c r="A31" t="s">
        <v>7</v>
      </c>
      <c r="B31" s="3">
        <f>_xlfn.XLOOKUP(A31,mrp_production!A:A,mrp_production!C:C)</f>
        <v>45942</v>
      </c>
      <c r="C31" t="s">
        <v>63</v>
      </c>
      <c r="D31" t="s">
        <v>21</v>
      </c>
      <c r="E31" s="4">
        <v>-0.2</v>
      </c>
      <c r="F31" t="s">
        <v>55</v>
      </c>
      <c r="G31" s="4">
        <v>5.75</v>
      </c>
      <c r="H31" s="5">
        <v>-1.1499999999999999</v>
      </c>
    </row>
    <row r="32" spans="1:8" x14ac:dyDescent="0.2">
      <c r="A32" t="s">
        <v>7</v>
      </c>
      <c r="B32" s="3">
        <f>_xlfn.XLOOKUP(A32,mrp_production!A:A,mrp_production!C:C)</f>
        <v>45942</v>
      </c>
      <c r="C32" t="s">
        <v>64</v>
      </c>
      <c r="D32" t="s">
        <v>54</v>
      </c>
      <c r="E32" s="4">
        <v>-0.3</v>
      </c>
      <c r="F32" t="s">
        <v>55</v>
      </c>
      <c r="G32" s="4">
        <v>2.06</v>
      </c>
      <c r="H32" s="5">
        <v>-0.61799999999999999</v>
      </c>
    </row>
    <row r="33" spans="1:8" x14ac:dyDescent="0.2">
      <c r="A33" t="s">
        <v>7</v>
      </c>
      <c r="B33" s="3">
        <f>_xlfn.XLOOKUP(A33,mrp_production!A:A,mrp_production!C:C)</f>
        <v>45942</v>
      </c>
      <c r="C33" t="s">
        <v>65</v>
      </c>
      <c r="D33" t="s">
        <v>54</v>
      </c>
      <c r="E33" s="4">
        <v>-1</v>
      </c>
      <c r="F33" t="s">
        <v>55</v>
      </c>
      <c r="G33" s="4">
        <v>1.504</v>
      </c>
      <c r="H33" s="5">
        <v>-1.504</v>
      </c>
    </row>
    <row r="34" spans="1:8" x14ac:dyDescent="0.2">
      <c r="A34" t="s">
        <v>7</v>
      </c>
      <c r="B34" s="3">
        <f>_xlfn.XLOOKUP(A34,mrp_production!A:A,mrp_production!C:C)</f>
        <v>45942</v>
      </c>
      <c r="C34" t="s">
        <v>66</v>
      </c>
      <c r="D34" t="s">
        <v>54</v>
      </c>
      <c r="E34" s="4">
        <v>-1</v>
      </c>
      <c r="F34" t="s">
        <v>55</v>
      </c>
      <c r="G34" s="4">
        <v>0.997</v>
      </c>
      <c r="H34" s="5">
        <v>-0.997</v>
      </c>
    </row>
    <row r="35" spans="1:8" x14ac:dyDescent="0.2">
      <c r="A35" t="s">
        <v>7</v>
      </c>
      <c r="B35" s="3">
        <f>_xlfn.XLOOKUP(A35,mrp_production!A:A,mrp_production!C:C)</f>
        <v>45942</v>
      </c>
      <c r="C35" t="s">
        <v>67</v>
      </c>
      <c r="D35" t="s">
        <v>54</v>
      </c>
      <c r="E35" s="4">
        <v>-0.4</v>
      </c>
      <c r="F35" t="s">
        <v>55</v>
      </c>
      <c r="G35" s="4">
        <v>1.03</v>
      </c>
      <c r="H35" s="5">
        <v>-0.41199999999999998</v>
      </c>
    </row>
    <row r="36" spans="1:8" x14ac:dyDescent="0.2">
      <c r="A36" t="s">
        <v>7</v>
      </c>
      <c r="B36" s="3">
        <f>_xlfn.XLOOKUP(A36,mrp_production!A:A,mrp_production!C:C)</f>
        <v>45942</v>
      </c>
      <c r="C36" t="s">
        <v>68</v>
      </c>
      <c r="D36" t="s">
        <v>54</v>
      </c>
      <c r="E36" s="4">
        <v>-1</v>
      </c>
      <c r="F36" t="s">
        <v>55</v>
      </c>
      <c r="G36" s="4">
        <v>0.58699999999999997</v>
      </c>
      <c r="H36" s="5">
        <v>-0.58699999999999997</v>
      </c>
    </row>
    <row r="37" spans="1:8" x14ac:dyDescent="0.2">
      <c r="A37" t="s">
        <v>7</v>
      </c>
      <c r="B37" s="3">
        <f>_xlfn.XLOOKUP(A37,mrp_production!A:A,mrp_production!C:C)</f>
        <v>45942</v>
      </c>
      <c r="C37" t="s">
        <v>69</v>
      </c>
      <c r="D37" t="s">
        <v>54</v>
      </c>
      <c r="E37" s="4">
        <v>-1</v>
      </c>
      <c r="F37" t="s">
        <v>55</v>
      </c>
      <c r="G37" s="4">
        <v>1.6</v>
      </c>
      <c r="H37" s="5">
        <v>-1.6</v>
      </c>
    </row>
    <row r="38" spans="1:8" x14ac:dyDescent="0.2">
      <c r="A38" t="s">
        <v>7</v>
      </c>
      <c r="B38" s="3">
        <f>_xlfn.XLOOKUP(A38,mrp_production!A:A,mrp_production!C:C)</f>
        <v>45942</v>
      </c>
      <c r="C38" t="s">
        <v>70</v>
      </c>
      <c r="D38" t="s">
        <v>54</v>
      </c>
      <c r="E38" s="4">
        <v>-1</v>
      </c>
      <c r="F38" t="s">
        <v>55</v>
      </c>
      <c r="G38" s="4">
        <v>1.504</v>
      </c>
      <c r="H38" s="5">
        <v>-1.504</v>
      </c>
    </row>
    <row r="39" spans="1:8" x14ac:dyDescent="0.2">
      <c r="A39" t="s">
        <v>7</v>
      </c>
      <c r="B39" s="3">
        <f>_xlfn.XLOOKUP(A39,mrp_production!A:A,mrp_production!C:C)</f>
        <v>45942</v>
      </c>
      <c r="C39" t="s">
        <v>71</v>
      </c>
      <c r="D39" t="s">
        <v>54</v>
      </c>
      <c r="E39" s="4">
        <v>-1</v>
      </c>
      <c r="F39" t="s">
        <v>55</v>
      </c>
      <c r="G39" s="4">
        <v>1.504</v>
      </c>
      <c r="H39" s="5">
        <v>-1.504</v>
      </c>
    </row>
    <row r="40" spans="1:8" x14ac:dyDescent="0.2">
      <c r="A40" t="s">
        <v>7</v>
      </c>
      <c r="B40" s="3">
        <f>_xlfn.XLOOKUP(A40,mrp_production!A:A,mrp_production!C:C)</f>
        <v>45942</v>
      </c>
      <c r="C40" t="s">
        <v>72</v>
      </c>
      <c r="D40" t="s">
        <v>54</v>
      </c>
      <c r="E40" s="4">
        <v>-2</v>
      </c>
      <c r="F40" t="s">
        <v>55</v>
      </c>
      <c r="G40" s="4">
        <v>0.89300000000000002</v>
      </c>
      <c r="H40" s="5">
        <v>-1.7849999999999999</v>
      </c>
    </row>
    <row r="41" spans="1:8" x14ac:dyDescent="0.2">
      <c r="A41" t="s">
        <v>7</v>
      </c>
      <c r="B41" s="3">
        <f>_xlfn.XLOOKUP(A41,mrp_production!A:A,mrp_production!C:C)</f>
        <v>45942</v>
      </c>
      <c r="C41" t="s">
        <v>73</v>
      </c>
      <c r="D41" t="s">
        <v>15</v>
      </c>
      <c r="E41" s="4">
        <v>-5</v>
      </c>
      <c r="F41" t="s">
        <v>74</v>
      </c>
      <c r="G41" s="4">
        <v>3.95</v>
      </c>
      <c r="H41" s="5">
        <v>-19.75</v>
      </c>
    </row>
    <row r="42" spans="1:8" x14ac:dyDescent="0.2">
      <c r="A42" t="s">
        <v>7</v>
      </c>
      <c r="B42" s="3">
        <f>_xlfn.XLOOKUP(A42,mrp_production!A:A,mrp_production!C:C)</f>
        <v>45942</v>
      </c>
      <c r="C42" t="s">
        <v>75</v>
      </c>
      <c r="D42" t="s">
        <v>15</v>
      </c>
      <c r="E42" s="4">
        <v>-1</v>
      </c>
      <c r="F42" t="s">
        <v>76</v>
      </c>
      <c r="G42" s="4">
        <v>4.3499999999999996</v>
      </c>
      <c r="H42" s="5">
        <v>-4.3499999999999996</v>
      </c>
    </row>
    <row r="43" spans="1:8" x14ac:dyDescent="0.2">
      <c r="A43" t="s">
        <v>7</v>
      </c>
      <c r="B43" s="3">
        <f>_xlfn.XLOOKUP(A43,mrp_production!A:A,mrp_production!C:C)</f>
        <v>45942</v>
      </c>
      <c r="C43" t="s">
        <v>77</v>
      </c>
      <c r="D43" t="s">
        <v>15</v>
      </c>
      <c r="E43" s="4">
        <v>-1</v>
      </c>
      <c r="F43" t="s">
        <v>74</v>
      </c>
      <c r="G43" s="4">
        <v>10.85</v>
      </c>
      <c r="H43" s="5">
        <v>-10.85</v>
      </c>
    </row>
    <row r="44" spans="1:8" x14ac:dyDescent="0.2">
      <c r="A44" t="s">
        <v>7</v>
      </c>
      <c r="B44" s="3">
        <f>_xlfn.XLOOKUP(A44,mrp_production!A:A,mrp_production!C:C)</f>
        <v>45942</v>
      </c>
      <c r="C44" t="s">
        <v>78</v>
      </c>
      <c r="D44" t="s">
        <v>79</v>
      </c>
      <c r="E44" s="4">
        <v>-0.25</v>
      </c>
      <c r="F44" t="s">
        <v>80</v>
      </c>
      <c r="G44" s="4">
        <v>5.7</v>
      </c>
      <c r="H44" s="5">
        <v>-1.425</v>
      </c>
    </row>
    <row r="45" spans="1:8" x14ac:dyDescent="0.2">
      <c r="A45" t="s">
        <v>7</v>
      </c>
      <c r="B45" s="3">
        <f>_xlfn.XLOOKUP(A45,mrp_production!A:A,mrp_production!C:C)</f>
        <v>45942</v>
      </c>
      <c r="C45" t="s">
        <v>81</v>
      </c>
      <c r="D45" t="s">
        <v>79</v>
      </c>
      <c r="E45" s="4">
        <v>-0.25</v>
      </c>
      <c r="F45" t="s">
        <v>80</v>
      </c>
      <c r="G45" s="4">
        <v>4.2</v>
      </c>
      <c r="H45" s="5">
        <v>-1.05</v>
      </c>
    </row>
    <row r="46" spans="1:8" x14ac:dyDescent="0.2">
      <c r="A46" t="s">
        <v>7</v>
      </c>
      <c r="B46" s="3">
        <f>_xlfn.XLOOKUP(A46,mrp_production!A:A,mrp_production!C:C)</f>
        <v>45942</v>
      </c>
      <c r="C46" t="s">
        <v>82</v>
      </c>
      <c r="D46" t="s">
        <v>83</v>
      </c>
      <c r="E46" s="4">
        <v>-0.6</v>
      </c>
      <c r="F46" t="s">
        <v>84</v>
      </c>
      <c r="G46" s="4">
        <v>11.35</v>
      </c>
      <c r="H46" s="5">
        <v>-6.81</v>
      </c>
    </row>
    <row r="47" spans="1:8" s="1" customFormat="1" x14ac:dyDescent="0.2">
      <c r="A47" s="1" t="s">
        <v>7</v>
      </c>
      <c r="B47" s="2">
        <f>_xlfn.XLOOKUP(A47,mrp_production!A:A,mrp_production!C:C)</f>
        <v>45942</v>
      </c>
      <c r="C47" s="1" t="s">
        <v>85</v>
      </c>
      <c r="D47" s="1" t="s">
        <v>86</v>
      </c>
      <c r="E47" s="6">
        <v>1</v>
      </c>
      <c r="F47" s="1" t="s">
        <v>87</v>
      </c>
      <c r="G47" s="6">
        <v>341.31700000000001</v>
      </c>
      <c r="H47" s="7">
        <v>341.31700000000001</v>
      </c>
    </row>
    <row r="48" spans="1:8" x14ac:dyDescent="0.2">
      <c r="A48" t="s">
        <v>88</v>
      </c>
      <c r="B48" s="3">
        <f>_xlfn.XLOOKUP(A48,mrp_production!A:A,mrp_production!C:C)</f>
        <v>45942</v>
      </c>
      <c r="C48" t="s">
        <v>89</v>
      </c>
      <c r="D48" t="s">
        <v>9</v>
      </c>
      <c r="E48" s="4">
        <v>-2</v>
      </c>
      <c r="F48" t="s">
        <v>10</v>
      </c>
      <c r="G48" s="4">
        <v>7.59</v>
      </c>
      <c r="H48" s="5">
        <v>-15.18</v>
      </c>
    </row>
    <row r="49" spans="1:8" x14ac:dyDescent="0.2">
      <c r="A49" t="s">
        <v>88</v>
      </c>
      <c r="B49" s="3">
        <f>_xlfn.XLOOKUP(A49,mrp_production!A:A,mrp_production!C:C)</f>
        <v>45942</v>
      </c>
      <c r="C49" t="s">
        <v>90</v>
      </c>
      <c r="D49" t="s">
        <v>9</v>
      </c>
      <c r="E49" s="4">
        <v>-0.93300000000000005</v>
      </c>
      <c r="F49" t="s">
        <v>91</v>
      </c>
      <c r="G49" s="4">
        <v>8.4459999999999997</v>
      </c>
      <c r="H49" s="5">
        <v>-7.88</v>
      </c>
    </row>
    <row r="50" spans="1:8" x14ac:dyDescent="0.2">
      <c r="A50" t="s">
        <v>88</v>
      </c>
      <c r="B50" s="3">
        <f>_xlfn.XLOOKUP(A50,mrp_production!A:A,mrp_production!C:C)</f>
        <v>45942</v>
      </c>
      <c r="C50" t="s">
        <v>11</v>
      </c>
      <c r="D50" t="s">
        <v>12</v>
      </c>
      <c r="E50" s="4">
        <v>-2</v>
      </c>
      <c r="F50" t="s">
        <v>13</v>
      </c>
      <c r="G50" s="4">
        <v>8.1999999999999993</v>
      </c>
      <c r="H50" s="5">
        <v>-16.399999999999999</v>
      </c>
    </row>
    <row r="51" spans="1:8" x14ac:dyDescent="0.2">
      <c r="A51" t="s">
        <v>88</v>
      </c>
      <c r="B51" s="3">
        <f>_xlfn.XLOOKUP(A51,mrp_production!A:A,mrp_production!C:C)</f>
        <v>45942</v>
      </c>
      <c r="C51" t="s">
        <v>92</v>
      </c>
      <c r="D51" t="s">
        <v>15</v>
      </c>
      <c r="E51" s="4">
        <v>-8.3000000000000004E-2</v>
      </c>
      <c r="F51" t="s">
        <v>74</v>
      </c>
      <c r="G51" s="4">
        <v>43</v>
      </c>
      <c r="H51" s="5">
        <v>-3.569</v>
      </c>
    </row>
    <row r="52" spans="1:8" x14ac:dyDescent="0.2">
      <c r="A52" t="s">
        <v>88</v>
      </c>
      <c r="B52" s="3">
        <f>_xlfn.XLOOKUP(A52,mrp_production!A:A,mrp_production!C:C)</f>
        <v>45942</v>
      </c>
      <c r="C52" t="s">
        <v>93</v>
      </c>
      <c r="D52" t="s">
        <v>18</v>
      </c>
      <c r="E52" s="4">
        <v>-2.6669999999999998</v>
      </c>
      <c r="F52" t="s">
        <v>19</v>
      </c>
      <c r="G52" s="4">
        <v>4.5999999999999996</v>
      </c>
      <c r="H52" s="5">
        <v>-12.268000000000001</v>
      </c>
    </row>
    <row r="53" spans="1:8" x14ac:dyDescent="0.2">
      <c r="A53" t="s">
        <v>88</v>
      </c>
      <c r="B53" s="3">
        <f>_xlfn.XLOOKUP(A53,mrp_production!A:A,mrp_production!C:C)</f>
        <v>45942</v>
      </c>
      <c r="C53" t="s">
        <v>94</v>
      </c>
      <c r="D53" t="s">
        <v>18</v>
      </c>
      <c r="E53" s="4">
        <v>-0.33300000000000002</v>
      </c>
      <c r="F53" t="s">
        <v>19</v>
      </c>
      <c r="G53" s="4">
        <v>7.7990000000000004</v>
      </c>
      <c r="H53" s="5">
        <v>-2.597</v>
      </c>
    </row>
    <row r="54" spans="1:8" x14ac:dyDescent="0.2">
      <c r="A54" t="s">
        <v>88</v>
      </c>
      <c r="B54" s="3">
        <f>_xlfn.XLOOKUP(A54,mrp_production!A:A,mrp_production!C:C)</f>
        <v>45942</v>
      </c>
      <c r="C54" t="s">
        <v>95</v>
      </c>
      <c r="D54" t="s">
        <v>21</v>
      </c>
      <c r="E54" s="4">
        <v>-1</v>
      </c>
      <c r="F54" t="s">
        <v>96</v>
      </c>
      <c r="G54" s="4">
        <v>4.4290000000000003</v>
      </c>
      <c r="H54" s="5">
        <v>-4.4290000000000003</v>
      </c>
    </row>
    <row r="55" spans="1:8" x14ac:dyDescent="0.2">
      <c r="A55" t="s">
        <v>88</v>
      </c>
      <c r="B55" s="3">
        <f>_xlfn.XLOOKUP(A55,mrp_production!A:A,mrp_production!C:C)</f>
        <v>45942</v>
      </c>
      <c r="C55" t="s">
        <v>97</v>
      </c>
      <c r="D55" t="s">
        <v>21</v>
      </c>
      <c r="E55" s="4">
        <v>-3</v>
      </c>
      <c r="F55" t="s">
        <v>55</v>
      </c>
      <c r="G55" s="4">
        <v>1.5449999999999999</v>
      </c>
      <c r="H55" s="5">
        <v>-4.6349999999999998</v>
      </c>
    </row>
    <row r="56" spans="1:8" x14ac:dyDescent="0.2">
      <c r="A56" t="s">
        <v>88</v>
      </c>
      <c r="B56" s="3">
        <f>_xlfn.XLOOKUP(A56,mrp_production!A:A,mrp_production!C:C)</f>
        <v>45942</v>
      </c>
      <c r="C56" t="s">
        <v>34</v>
      </c>
      <c r="D56" t="s">
        <v>21</v>
      </c>
      <c r="E56" s="4">
        <v>-8.3000000000000004E-2</v>
      </c>
      <c r="F56" t="s">
        <v>35</v>
      </c>
      <c r="G56" s="4">
        <v>5.2050000000000001</v>
      </c>
      <c r="H56" s="5">
        <v>-0.432</v>
      </c>
    </row>
    <row r="57" spans="1:8" x14ac:dyDescent="0.2">
      <c r="A57" t="s">
        <v>88</v>
      </c>
      <c r="B57" s="3">
        <f>_xlfn.XLOOKUP(A57,mrp_production!A:A,mrp_production!C:C)</f>
        <v>45942</v>
      </c>
      <c r="C57" t="s">
        <v>49</v>
      </c>
      <c r="D57" t="s">
        <v>21</v>
      </c>
      <c r="E57" s="4">
        <v>-0.16700000000000001</v>
      </c>
      <c r="F57" t="s">
        <v>50</v>
      </c>
      <c r="G57" s="4">
        <v>9.7840000000000007</v>
      </c>
      <c r="H57" s="5">
        <v>-1.6339999999999999</v>
      </c>
    </row>
    <row r="58" spans="1:8" x14ac:dyDescent="0.2">
      <c r="A58" t="s">
        <v>88</v>
      </c>
      <c r="B58" s="3">
        <f>_xlfn.XLOOKUP(A58,mrp_production!A:A,mrp_production!C:C)</f>
        <v>45942</v>
      </c>
      <c r="C58" t="s">
        <v>98</v>
      </c>
      <c r="D58" t="s">
        <v>21</v>
      </c>
      <c r="E58" s="4">
        <v>-1</v>
      </c>
      <c r="F58" t="s">
        <v>99</v>
      </c>
      <c r="G58" s="4">
        <v>0.8</v>
      </c>
      <c r="H58" s="5">
        <v>-0.8</v>
      </c>
    </row>
    <row r="59" spans="1:8" x14ac:dyDescent="0.2">
      <c r="A59" t="s">
        <v>88</v>
      </c>
      <c r="B59" s="3">
        <f>_xlfn.XLOOKUP(A59,mrp_production!A:A,mrp_production!C:C)</f>
        <v>45942</v>
      </c>
      <c r="C59" t="s">
        <v>100</v>
      </c>
      <c r="D59" t="s">
        <v>21</v>
      </c>
      <c r="E59" s="4">
        <v>-0.05</v>
      </c>
      <c r="F59" t="s">
        <v>101</v>
      </c>
      <c r="G59" s="4">
        <v>30</v>
      </c>
      <c r="H59" s="5">
        <v>-1.5</v>
      </c>
    </row>
    <row r="60" spans="1:8" x14ac:dyDescent="0.2">
      <c r="A60" t="s">
        <v>88</v>
      </c>
      <c r="B60" s="3">
        <f>_xlfn.XLOOKUP(A60,mrp_production!A:A,mrp_production!C:C)</f>
        <v>45942</v>
      </c>
      <c r="C60" t="s">
        <v>102</v>
      </c>
      <c r="D60" t="s">
        <v>54</v>
      </c>
      <c r="E60" s="4">
        <v>-0.05</v>
      </c>
      <c r="F60" t="s">
        <v>10</v>
      </c>
      <c r="G60" s="4">
        <v>14.64</v>
      </c>
      <c r="H60" s="5">
        <v>-0.73199999999999998</v>
      </c>
    </row>
    <row r="61" spans="1:8" x14ac:dyDescent="0.2">
      <c r="A61" t="s">
        <v>88</v>
      </c>
      <c r="B61" s="3">
        <f>_xlfn.XLOOKUP(A61,mrp_production!A:A,mrp_production!C:C)</f>
        <v>45942</v>
      </c>
      <c r="C61" t="s">
        <v>103</v>
      </c>
      <c r="D61" t="s">
        <v>54</v>
      </c>
      <c r="E61" s="4">
        <v>-1</v>
      </c>
      <c r="F61" t="s">
        <v>55</v>
      </c>
      <c r="G61" s="4">
        <v>1.236</v>
      </c>
      <c r="H61" s="5">
        <v>-1.236</v>
      </c>
    </row>
    <row r="62" spans="1:8" x14ac:dyDescent="0.2">
      <c r="A62" t="s">
        <v>88</v>
      </c>
      <c r="B62" s="3">
        <f>_xlfn.XLOOKUP(A62,mrp_production!A:A,mrp_production!C:C)</f>
        <v>45942</v>
      </c>
      <c r="C62" t="s">
        <v>104</v>
      </c>
      <c r="D62" t="s">
        <v>54</v>
      </c>
      <c r="E62" s="4">
        <v>-0.5</v>
      </c>
      <c r="F62" t="s">
        <v>55</v>
      </c>
      <c r="G62" s="4">
        <v>0.64</v>
      </c>
      <c r="H62" s="5">
        <v>-0.32</v>
      </c>
    </row>
    <row r="63" spans="1:8" x14ac:dyDescent="0.2">
      <c r="A63" t="s">
        <v>88</v>
      </c>
      <c r="B63" s="3">
        <f>_xlfn.XLOOKUP(A63,mrp_production!A:A,mrp_production!C:C)</f>
        <v>45942</v>
      </c>
      <c r="C63" t="s">
        <v>63</v>
      </c>
      <c r="D63" t="s">
        <v>21</v>
      </c>
      <c r="E63" s="4">
        <v>-0.1</v>
      </c>
      <c r="F63" t="s">
        <v>55</v>
      </c>
      <c r="G63" s="4">
        <v>5.75</v>
      </c>
      <c r="H63" s="5">
        <v>-0.57499999999999996</v>
      </c>
    </row>
    <row r="64" spans="1:8" x14ac:dyDescent="0.2">
      <c r="A64" t="s">
        <v>88</v>
      </c>
      <c r="B64" s="3">
        <f>_xlfn.XLOOKUP(A64,mrp_production!A:A,mrp_production!C:C)</f>
        <v>45942</v>
      </c>
      <c r="C64" t="s">
        <v>65</v>
      </c>
      <c r="D64" t="s">
        <v>54</v>
      </c>
      <c r="E64" s="4">
        <v>-2</v>
      </c>
      <c r="F64" t="s">
        <v>55</v>
      </c>
      <c r="G64" s="4">
        <v>1.504</v>
      </c>
      <c r="H64" s="5">
        <v>-3.008</v>
      </c>
    </row>
    <row r="65" spans="1:8" x14ac:dyDescent="0.2">
      <c r="A65" t="s">
        <v>88</v>
      </c>
      <c r="B65" s="3">
        <f>_xlfn.XLOOKUP(A65,mrp_production!A:A,mrp_production!C:C)</f>
        <v>45942</v>
      </c>
      <c r="C65" t="s">
        <v>68</v>
      </c>
      <c r="D65" t="s">
        <v>54</v>
      </c>
      <c r="E65" s="4">
        <v>-2</v>
      </c>
      <c r="F65" t="s">
        <v>55</v>
      </c>
      <c r="G65" s="4">
        <v>0.58699999999999997</v>
      </c>
      <c r="H65" s="5">
        <v>-1.173</v>
      </c>
    </row>
    <row r="66" spans="1:8" x14ac:dyDescent="0.2">
      <c r="A66" t="s">
        <v>88</v>
      </c>
      <c r="B66" s="3">
        <f>_xlfn.XLOOKUP(A66,mrp_production!A:A,mrp_production!C:C)</f>
        <v>45942</v>
      </c>
      <c r="C66" t="s">
        <v>69</v>
      </c>
      <c r="D66" t="s">
        <v>54</v>
      </c>
      <c r="E66" s="4">
        <v>-1</v>
      </c>
      <c r="F66" t="s">
        <v>55</v>
      </c>
      <c r="G66" s="4">
        <v>1.6</v>
      </c>
      <c r="H66" s="5">
        <v>-1.6</v>
      </c>
    </row>
    <row r="67" spans="1:8" x14ac:dyDescent="0.2">
      <c r="A67" t="s">
        <v>88</v>
      </c>
      <c r="B67" s="3">
        <f>_xlfn.XLOOKUP(A67,mrp_production!A:A,mrp_production!C:C)</f>
        <v>45942</v>
      </c>
      <c r="C67" t="s">
        <v>72</v>
      </c>
      <c r="D67" t="s">
        <v>54</v>
      </c>
      <c r="E67" s="4">
        <v>-3</v>
      </c>
      <c r="F67" t="s">
        <v>55</v>
      </c>
      <c r="G67" s="4">
        <v>0.89300000000000002</v>
      </c>
      <c r="H67" s="5">
        <v>-2.6779999999999999</v>
      </c>
    </row>
    <row r="68" spans="1:8" x14ac:dyDescent="0.2">
      <c r="A68" t="s">
        <v>88</v>
      </c>
      <c r="B68" s="3">
        <f>_xlfn.XLOOKUP(A68,mrp_production!A:A,mrp_production!C:C)</f>
        <v>45942</v>
      </c>
      <c r="C68" t="s">
        <v>73</v>
      </c>
      <c r="D68" t="s">
        <v>15</v>
      </c>
      <c r="E68" s="4">
        <v>-1</v>
      </c>
      <c r="F68" t="s">
        <v>74</v>
      </c>
      <c r="G68" s="4">
        <v>3.95</v>
      </c>
      <c r="H68" s="5">
        <v>-3.95</v>
      </c>
    </row>
    <row r="69" spans="1:8" x14ac:dyDescent="0.2">
      <c r="A69" t="s">
        <v>88</v>
      </c>
      <c r="B69" s="3">
        <f>_xlfn.XLOOKUP(A69,mrp_production!A:A,mrp_production!C:C)</f>
        <v>45942</v>
      </c>
      <c r="C69" t="s">
        <v>77</v>
      </c>
      <c r="D69" t="s">
        <v>15</v>
      </c>
      <c r="E69" s="4">
        <v>-0.16700000000000001</v>
      </c>
      <c r="F69" t="s">
        <v>74</v>
      </c>
      <c r="G69" s="4">
        <v>10.85</v>
      </c>
      <c r="H69" s="5">
        <v>-1.8120000000000001</v>
      </c>
    </row>
    <row r="70" spans="1:8" x14ac:dyDescent="0.2">
      <c r="A70" t="s">
        <v>88</v>
      </c>
      <c r="B70" s="3">
        <f>_xlfn.XLOOKUP(A70,mrp_production!A:A,mrp_production!C:C)</f>
        <v>45942</v>
      </c>
      <c r="C70" t="s">
        <v>105</v>
      </c>
      <c r="D70" t="s">
        <v>79</v>
      </c>
      <c r="E70" s="4">
        <v>-1</v>
      </c>
      <c r="F70" t="s">
        <v>80</v>
      </c>
      <c r="G70" s="4">
        <v>4.7</v>
      </c>
      <c r="H70" s="5">
        <v>-4.7</v>
      </c>
    </row>
    <row r="71" spans="1:8" x14ac:dyDescent="0.2">
      <c r="A71" t="s">
        <v>88</v>
      </c>
      <c r="B71" s="3">
        <f>_xlfn.XLOOKUP(A71,mrp_production!A:A,mrp_production!C:C)</f>
        <v>45942</v>
      </c>
      <c r="C71" t="s">
        <v>81</v>
      </c>
      <c r="D71" t="s">
        <v>79</v>
      </c>
      <c r="E71" s="4">
        <v>-1</v>
      </c>
      <c r="F71" t="s">
        <v>80</v>
      </c>
      <c r="G71" s="4">
        <v>4.2</v>
      </c>
      <c r="H71" s="5">
        <v>-4.2</v>
      </c>
    </row>
    <row r="72" spans="1:8" x14ac:dyDescent="0.2">
      <c r="A72" t="s">
        <v>88</v>
      </c>
      <c r="B72" s="3">
        <f>_xlfn.XLOOKUP(A72,mrp_production!A:A,mrp_production!C:C)</f>
        <v>45942</v>
      </c>
      <c r="C72" t="s">
        <v>106</v>
      </c>
      <c r="D72" t="s">
        <v>79</v>
      </c>
      <c r="E72" s="4">
        <v>-1</v>
      </c>
      <c r="F72" t="s">
        <v>80</v>
      </c>
      <c r="G72" s="4">
        <v>4.4000000000000004</v>
      </c>
      <c r="H72" s="5">
        <v>-4.4000000000000004</v>
      </c>
    </row>
    <row r="73" spans="1:8" x14ac:dyDescent="0.2">
      <c r="A73" t="s">
        <v>88</v>
      </c>
      <c r="B73" s="3">
        <f>_xlfn.XLOOKUP(A73,mrp_production!A:A,mrp_production!C:C)</f>
        <v>45942</v>
      </c>
      <c r="C73" t="s">
        <v>85</v>
      </c>
      <c r="D73" t="s">
        <v>86</v>
      </c>
      <c r="E73" s="4">
        <v>1</v>
      </c>
      <c r="F73" t="s">
        <v>87</v>
      </c>
      <c r="G73" s="4">
        <v>101.708</v>
      </c>
      <c r="H73" s="5">
        <v>101.708</v>
      </c>
    </row>
    <row r="74" spans="1:8" x14ac:dyDescent="0.2">
      <c r="A74" t="s">
        <v>107</v>
      </c>
      <c r="B74" s="3">
        <f>_xlfn.XLOOKUP(A74,mrp_production!A:A,mrp_production!C:C)</f>
        <v>45942</v>
      </c>
      <c r="C74" t="s">
        <v>108</v>
      </c>
      <c r="D74" t="s">
        <v>109</v>
      </c>
      <c r="E74" s="4">
        <v>-3</v>
      </c>
      <c r="F74" t="s">
        <v>110</v>
      </c>
      <c r="G74" s="4">
        <v>3.3</v>
      </c>
      <c r="H74" s="5">
        <v>-9.9</v>
      </c>
    </row>
    <row r="75" spans="1:8" x14ac:dyDescent="0.2">
      <c r="A75" t="s">
        <v>107</v>
      </c>
      <c r="B75" s="3">
        <f>_xlfn.XLOOKUP(A75,mrp_production!A:A,mrp_production!C:C)</f>
        <v>45942</v>
      </c>
      <c r="C75" t="s">
        <v>111</v>
      </c>
      <c r="D75" t="s">
        <v>112</v>
      </c>
      <c r="E75" s="4">
        <v>-2</v>
      </c>
      <c r="F75" t="s">
        <v>110</v>
      </c>
      <c r="G75" s="4">
        <v>3.3</v>
      </c>
      <c r="H75" s="5">
        <v>-6.6</v>
      </c>
    </row>
    <row r="76" spans="1:8" x14ac:dyDescent="0.2">
      <c r="A76" t="s">
        <v>107</v>
      </c>
      <c r="B76" s="3">
        <f>_xlfn.XLOOKUP(A76,mrp_production!A:A,mrp_production!C:C)</f>
        <v>45942</v>
      </c>
      <c r="C76" t="s">
        <v>113</v>
      </c>
      <c r="D76" t="s">
        <v>109</v>
      </c>
      <c r="E76" s="4">
        <v>-2</v>
      </c>
      <c r="F76" t="s">
        <v>114</v>
      </c>
      <c r="G76" s="4">
        <v>6.6769999999999996</v>
      </c>
      <c r="H76" s="5">
        <v>-13.353999999999999</v>
      </c>
    </row>
    <row r="77" spans="1:8" x14ac:dyDescent="0.2">
      <c r="A77" t="s">
        <v>107</v>
      </c>
      <c r="B77" s="3">
        <f>_xlfn.XLOOKUP(A77,mrp_production!A:A,mrp_production!C:C)</f>
        <v>45942</v>
      </c>
      <c r="C77" t="s">
        <v>115</v>
      </c>
      <c r="D77" t="s">
        <v>109</v>
      </c>
      <c r="E77" s="4">
        <v>-4</v>
      </c>
      <c r="F77" t="s">
        <v>116</v>
      </c>
      <c r="G77" s="4">
        <v>3.1819999999999999</v>
      </c>
      <c r="H77" s="5">
        <v>-12.728</v>
      </c>
    </row>
    <row r="78" spans="1:8" x14ac:dyDescent="0.2">
      <c r="A78" t="s">
        <v>107</v>
      </c>
      <c r="B78" s="3">
        <f>_xlfn.XLOOKUP(A78,mrp_production!A:A,mrp_production!C:C)</f>
        <v>45942</v>
      </c>
      <c r="C78" t="s">
        <v>117</v>
      </c>
      <c r="D78" t="s">
        <v>109</v>
      </c>
      <c r="E78" s="4">
        <v>-1</v>
      </c>
      <c r="F78" t="s">
        <v>118</v>
      </c>
      <c r="G78" s="4">
        <v>8.8010000000000002</v>
      </c>
      <c r="H78" s="5">
        <v>-8.8010000000000002</v>
      </c>
    </row>
    <row r="79" spans="1:8" x14ac:dyDescent="0.2">
      <c r="A79" t="s">
        <v>107</v>
      </c>
      <c r="B79" s="3">
        <f>_xlfn.XLOOKUP(A79,mrp_production!A:A,mrp_production!C:C)</f>
        <v>45942</v>
      </c>
      <c r="C79" t="s">
        <v>119</v>
      </c>
      <c r="D79" t="s">
        <v>86</v>
      </c>
      <c r="E79" s="4">
        <v>1</v>
      </c>
      <c r="F79" t="s">
        <v>87</v>
      </c>
      <c r="G79" s="4">
        <v>51.383000000000003</v>
      </c>
      <c r="H79" s="5">
        <v>51.383000000000003</v>
      </c>
    </row>
    <row r="80" spans="1:8" x14ac:dyDescent="0.2">
      <c r="A80" t="s">
        <v>120</v>
      </c>
      <c r="B80" s="3">
        <f>_xlfn.XLOOKUP(A80,mrp_production!A:A,mrp_production!C:C)</f>
        <v>45942</v>
      </c>
      <c r="C80" t="s">
        <v>121</v>
      </c>
      <c r="D80" t="s">
        <v>9</v>
      </c>
      <c r="E80" s="4">
        <v>-8</v>
      </c>
      <c r="F80" t="s">
        <v>10</v>
      </c>
      <c r="G80" s="4">
        <v>8.1</v>
      </c>
      <c r="H80" s="5">
        <v>-64.8</v>
      </c>
    </row>
    <row r="81" spans="1:8" x14ac:dyDescent="0.2">
      <c r="A81" t="s">
        <v>120</v>
      </c>
      <c r="B81" s="3">
        <f>_xlfn.XLOOKUP(A81,mrp_production!A:A,mrp_production!C:C)</f>
        <v>45942</v>
      </c>
      <c r="C81" t="s">
        <v>122</v>
      </c>
      <c r="D81" t="s">
        <v>9</v>
      </c>
      <c r="E81" s="4">
        <v>-30</v>
      </c>
      <c r="F81" t="s">
        <v>10</v>
      </c>
      <c r="G81" s="4">
        <v>8.1</v>
      </c>
      <c r="H81" s="5">
        <v>-243</v>
      </c>
    </row>
    <row r="82" spans="1:8" x14ac:dyDescent="0.2">
      <c r="A82" t="s">
        <v>120</v>
      </c>
      <c r="B82" s="3">
        <f>_xlfn.XLOOKUP(A82,mrp_production!A:A,mrp_production!C:C)</f>
        <v>45942</v>
      </c>
      <c r="C82" t="s">
        <v>11</v>
      </c>
      <c r="D82" t="s">
        <v>12</v>
      </c>
      <c r="E82" s="4">
        <v>-12</v>
      </c>
      <c r="F82" t="s">
        <v>13</v>
      </c>
      <c r="G82" s="4">
        <v>8.1999999999999993</v>
      </c>
      <c r="H82" s="5">
        <v>-98.4</v>
      </c>
    </row>
    <row r="83" spans="1:8" x14ac:dyDescent="0.2">
      <c r="A83" t="s">
        <v>120</v>
      </c>
      <c r="B83" s="3">
        <f>_xlfn.XLOOKUP(A83,mrp_production!A:A,mrp_production!C:C)</f>
        <v>45942</v>
      </c>
      <c r="C83" t="s">
        <v>92</v>
      </c>
      <c r="D83" t="s">
        <v>15</v>
      </c>
      <c r="E83" s="4">
        <v>-0.25</v>
      </c>
      <c r="F83" t="s">
        <v>74</v>
      </c>
      <c r="G83" s="4">
        <v>43</v>
      </c>
      <c r="H83" s="5">
        <v>-10.75</v>
      </c>
    </row>
    <row r="84" spans="1:8" x14ac:dyDescent="0.2">
      <c r="A84" t="s">
        <v>120</v>
      </c>
      <c r="B84" s="3">
        <f>_xlfn.XLOOKUP(A84,mrp_production!A:A,mrp_production!C:C)</f>
        <v>45942</v>
      </c>
      <c r="C84" t="s">
        <v>93</v>
      </c>
      <c r="D84" t="s">
        <v>18</v>
      </c>
      <c r="E84" s="4">
        <v>-6</v>
      </c>
      <c r="F84" t="s">
        <v>19</v>
      </c>
      <c r="G84" s="4">
        <v>4.5999999999999996</v>
      </c>
      <c r="H84" s="5">
        <v>-27.6</v>
      </c>
    </row>
    <row r="85" spans="1:8" x14ac:dyDescent="0.2">
      <c r="A85" t="s">
        <v>120</v>
      </c>
      <c r="B85" s="3">
        <f>_xlfn.XLOOKUP(A85,mrp_production!A:A,mrp_production!C:C)</f>
        <v>45942</v>
      </c>
      <c r="C85" t="s">
        <v>123</v>
      </c>
      <c r="D85" t="s">
        <v>21</v>
      </c>
      <c r="E85" s="4">
        <v>-3</v>
      </c>
      <c r="F85" t="s">
        <v>55</v>
      </c>
      <c r="G85" s="4">
        <v>2.1</v>
      </c>
      <c r="H85" s="5">
        <v>-6.3</v>
      </c>
    </row>
    <row r="86" spans="1:8" x14ac:dyDescent="0.2">
      <c r="A86" t="s">
        <v>120</v>
      </c>
      <c r="B86" s="3">
        <f>_xlfn.XLOOKUP(A86,mrp_production!A:A,mrp_production!C:C)</f>
        <v>45942</v>
      </c>
      <c r="C86" t="s">
        <v>124</v>
      </c>
      <c r="D86" t="s">
        <v>18</v>
      </c>
      <c r="E86" s="4">
        <v>-20</v>
      </c>
      <c r="F86" t="s">
        <v>55</v>
      </c>
      <c r="G86" s="4">
        <v>1.64</v>
      </c>
      <c r="H86" s="5">
        <v>-32.79</v>
      </c>
    </row>
    <row r="87" spans="1:8" x14ac:dyDescent="0.2">
      <c r="A87" t="s">
        <v>120</v>
      </c>
      <c r="B87" s="3">
        <f>_xlfn.XLOOKUP(A87,mrp_production!A:A,mrp_production!C:C)</f>
        <v>45942</v>
      </c>
      <c r="C87" t="s">
        <v>125</v>
      </c>
      <c r="D87" t="s">
        <v>21</v>
      </c>
      <c r="E87" s="4">
        <v>-1</v>
      </c>
      <c r="F87" t="s">
        <v>38</v>
      </c>
      <c r="G87" s="4">
        <v>7.2</v>
      </c>
      <c r="H87" s="5">
        <v>-7.2</v>
      </c>
    </row>
    <row r="88" spans="1:8" x14ac:dyDescent="0.2">
      <c r="A88" t="s">
        <v>120</v>
      </c>
      <c r="B88" s="3">
        <f>_xlfn.XLOOKUP(A88,mrp_production!A:A,mrp_production!C:C)</f>
        <v>45942</v>
      </c>
      <c r="C88" t="s">
        <v>25</v>
      </c>
      <c r="D88" t="s">
        <v>26</v>
      </c>
      <c r="E88" s="4">
        <v>-0.16700000000000001</v>
      </c>
      <c r="F88" t="s">
        <v>27</v>
      </c>
      <c r="G88" s="4">
        <v>19</v>
      </c>
      <c r="H88" s="5">
        <v>-3.173</v>
      </c>
    </row>
    <row r="89" spans="1:8" x14ac:dyDescent="0.2">
      <c r="A89" t="s">
        <v>120</v>
      </c>
      <c r="B89" s="3">
        <f>_xlfn.XLOOKUP(A89,mrp_production!A:A,mrp_production!C:C)</f>
        <v>45942</v>
      </c>
      <c r="C89" t="s">
        <v>28</v>
      </c>
      <c r="D89" t="s">
        <v>21</v>
      </c>
      <c r="E89" s="4">
        <v>-1.7000000000000001E-2</v>
      </c>
      <c r="F89" t="s">
        <v>29</v>
      </c>
      <c r="G89" s="4">
        <v>33.234999999999999</v>
      </c>
      <c r="H89" s="5">
        <v>-0.56499999999999995</v>
      </c>
    </row>
    <row r="90" spans="1:8" x14ac:dyDescent="0.2">
      <c r="A90" t="s">
        <v>120</v>
      </c>
      <c r="B90" s="3">
        <f>_xlfn.XLOOKUP(A90,mrp_production!A:A,mrp_production!C:C)</f>
        <v>45942</v>
      </c>
      <c r="C90" t="s">
        <v>126</v>
      </c>
      <c r="D90" t="s">
        <v>21</v>
      </c>
      <c r="E90" s="4">
        <v>-1.7000000000000001E-2</v>
      </c>
      <c r="F90" t="s">
        <v>29</v>
      </c>
      <c r="G90" s="4">
        <v>33.234999999999999</v>
      </c>
      <c r="H90" s="5">
        <v>-0.56499999999999995</v>
      </c>
    </row>
    <row r="91" spans="1:8" x14ac:dyDescent="0.2">
      <c r="A91" t="s">
        <v>120</v>
      </c>
      <c r="B91" s="3">
        <f>_xlfn.XLOOKUP(A91,mrp_production!A:A,mrp_production!C:C)</f>
        <v>45942</v>
      </c>
      <c r="C91" t="s">
        <v>30</v>
      </c>
      <c r="D91" t="s">
        <v>21</v>
      </c>
      <c r="E91" s="4">
        <v>-0.5</v>
      </c>
      <c r="F91" t="s">
        <v>31</v>
      </c>
      <c r="G91" s="4">
        <v>10.6</v>
      </c>
      <c r="H91" s="5">
        <v>-5.3</v>
      </c>
    </row>
    <row r="92" spans="1:8" x14ac:dyDescent="0.2">
      <c r="A92" t="s">
        <v>120</v>
      </c>
      <c r="B92" s="3">
        <f>_xlfn.XLOOKUP(A92,mrp_production!A:A,mrp_production!C:C)</f>
        <v>45942</v>
      </c>
      <c r="C92" t="s">
        <v>127</v>
      </c>
      <c r="D92" t="s">
        <v>21</v>
      </c>
      <c r="E92" s="4">
        <v>-0.253</v>
      </c>
      <c r="F92" t="s">
        <v>128</v>
      </c>
      <c r="G92" s="4">
        <v>5.15</v>
      </c>
      <c r="H92" s="5">
        <v>-1.3029999999999999</v>
      </c>
    </row>
    <row r="93" spans="1:8" x14ac:dyDescent="0.2">
      <c r="A93" t="s">
        <v>120</v>
      </c>
      <c r="B93" s="3">
        <f>_xlfn.XLOOKUP(A93,mrp_production!A:A,mrp_production!C:C)</f>
        <v>45942</v>
      </c>
      <c r="C93" t="s">
        <v>129</v>
      </c>
      <c r="D93" t="s">
        <v>21</v>
      </c>
      <c r="E93" s="4">
        <v>-0.5</v>
      </c>
      <c r="F93" t="s">
        <v>130</v>
      </c>
      <c r="G93" s="4">
        <v>5.98</v>
      </c>
      <c r="H93" s="5">
        <v>-2.99</v>
      </c>
    </row>
    <row r="94" spans="1:8" x14ac:dyDescent="0.2">
      <c r="A94" t="s">
        <v>120</v>
      </c>
      <c r="B94" s="3">
        <f>_xlfn.XLOOKUP(A94,mrp_production!A:A,mrp_production!C:C)</f>
        <v>45942</v>
      </c>
      <c r="C94" t="s">
        <v>32</v>
      </c>
      <c r="D94" t="s">
        <v>21</v>
      </c>
      <c r="E94" s="4">
        <v>-4</v>
      </c>
      <c r="F94" t="s">
        <v>33</v>
      </c>
      <c r="G94" s="4">
        <v>0.65</v>
      </c>
      <c r="H94" s="5">
        <v>-2.6</v>
      </c>
    </row>
    <row r="95" spans="1:8" x14ac:dyDescent="0.2">
      <c r="A95" t="s">
        <v>120</v>
      </c>
      <c r="B95" s="3">
        <f>_xlfn.XLOOKUP(A95,mrp_production!A:A,mrp_production!C:C)</f>
        <v>45942</v>
      </c>
      <c r="C95" t="s">
        <v>34</v>
      </c>
      <c r="D95" t="s">
        <v>21</v>
      </c>
      <c r="E95" s="4">
        <v>-0.66700000000000004</v>
      </c>
      <c r="F95" t="s">
        <v>35</v>
      </c>
      <c r="G95" s="4">
        <v>5.1989999999999998</v>
      </c>
      <c r="H95" s="5">
        <v>-3.468</v>
      </c>
    </row>
    <row r="96" spans="1:8" x14ac:dyDescent="0.2">
      <c r="A96" t="s">
        <v>120</v>
      </c>
      <c r="B96" s="3">
        <f>_xlfn.XLOOKUP(A96,mrp_production!A:A,mrp_production!C:C)</f>
        <v>45942</v>
      </c>
      <c r="C96" t="s">
        <v>39</v>
      </c>
      <c r="D96" t="s">
        <v>21</v>
      </c>
      <c r="E96" s="4">
        <v>-4</v>
      </c>
      <c r="F96" t="s">
        <v>40</v>
      </c>
      <c r="G96" s="4">
        <v>4.1399999999999997</v>
      </c>
      <c r="H96" s="5">
        <v>-16.559999999999999</v>
      </c>
    </row>
    <row r="97" spans="1:8" x14ac:dyDescent="0.2">
      <c r="A97" t="s">
        <v>120</v>
      </c>
      <c r="B97" s="3">
        <f>_xlfn.XLOOKUP(A97,mrp_production!A:A,mrp_production!C:C)</f>
        <v>45942</v>
      </c>
      <c r="C97" t="s">
        <v>44</v>
      </c>
      <c r="D97" t="s">
        <v>21</v>
      </c>
      <c r="E97" s="4">
        <v>-2</v>
      </c>
      <c r="F97" t="s">
        <v>45</v>
      </c>
      <c r="G97" s="4">
        <v>1.556</v>
      </c>
      <c r="H97" s="5">
        <v>-3.1120000000000001</v>
      </c>
    </row>
    <row r="98" spans="1:8" x14ac:dyDescent="0.2">
      <c r="A98" t="s">
        <v>120</v>
      </c>
      <c r="B98" s="3">
        <f>_xlfn.XLOOKUP(A98,mrp_production!A:A,mrp_production!C:C)</f>
        <v>45942</v>
      </c>
      <c r="C98" t="s">
        <v>47</v>
      </c>
      <c r="D98" t="s">
        <v>21</v>
      </c>
      <c r="E98" s="4">
        <v>-0.5</v>
      </c>
      <c r="F98" t="s">
        <v>48</v>
      </c>
      <c r="G98" s="4">
        <v>15.464</v>
      </c>
      <c r="H98" s="5">
        <v>-7.7320000000000002</v>
      </c>
    </row>
    <row r="99" spans="1:8" x14ac:dyDescent="0.2">
      <c r="A99" t="s">
        <v>120</v>
      </c>
      <c r="B99" s="3">
        <f>_xlfn.XLOOKUP(A99,mrp_production!A:A,mrp_production!C:C)</f>
        <v>45942</v>
      </c>
      <c r="C99" t="s">
        <v>131</v>
      </c>
      <c r="D99" t="s">
        <v>21</v>
      </c>
      <c r="E99" s="4">
        <v>-0.33300000000000002</v>
      </c>
      <c r="F99" t="s">
        <v>48</v>
      </c>
      <c r="G99" s="4">
        <v>15.465</v>
      </c>
      <c r="H99" s="5">
        <v>-5.15</v>
      </c>
    </row>
    <row r="100" spans="1:8" x14ac:dyDescent="0.2">
      <c r="A100" t="s">
        <v>120</v>
      </c>
      <c r="B100" s="3">
        <f>_xlfn.XLOOKUP(A100,mrp_production!A:A,mrp_production!C:C)</f>
        <v>45942</v>
      </c>
      <c r="C100" t="s">
        <v>20</v>
      </c>
      <c r="D100" t="s">
        <v>21</v>
      </c>
      <c r="E100" s="4">
        <v>-2</v>
      </c>
      <c r="F100" t="s">
        <v>22</v>
      </c>
      <c r="G100" s="4">
        <v>11.5</v>
      </c>
      <c r="H100" s="5">
        <v>-23</v>
      </c>
    </row>
    <row r="101" spans="1:8" x14ac:dyDescent="0.2">
      <c r="A101" t="s">
        <v>120</v>
      </c>
      <c r="B101" s="3">
        <f>_xlfn.XLOOKUP(A101,mrp_production!A:A,mrp_production!C:C)</f>
        <v>45942</v>
      </c>
      <c r="C101" t="s">
        <v>132</v>
      </c>
      <c r="D101" t="s">
        <v>21</v>
      </c>
      <c r="E101" s="4">
        <v>-0.5</v>
      </c>
      <c r="F101" t="s">
        <v>133</v>
      </c>
      <c r="G101" s="4">
        <v>14.422000000000001</v>
      </c>
      <c r="H101" s="5">
        <v>-7.2110000000000003</v>
      </c>
    </row>
    <row r="102" spans="1:8" x14ac:dyDescent="0.2">
      <c r="A102" t="s">
        <v>120</v>
      </c>
      <c r="B102" s="3">
        <f>_xlfn.XLOOKUP(A102,mrp_production!A:A,mrp_production!C:C)</f>
        <v>45942</v>
      </c>
      <c r="C102" t="s">
        <v>49</v>
      </c>
      <c r="D102" t="s">
        <v>21</v>
      </c>
      <c r="E102" s="4">
        <v>-2</v>
      </c>
      <c r="F102" t="s">
        <v>50</v>
      </c>
      <c r="G102" s="4">
        <v>9.7859999999999996</v>
      </c>
      <c r="H102" s="5">
        <v>-19.571999999999999</v>
      </c>
    </row>
    <row r="103" spans="1:8" x14ac:dyDescent="0.2">
      <c r="A103" t="s">
        <v>120</v>
      </c>
      <c r="B103" s="3">
        <f>_xlfn.XLOOKUP(A103,mrp_production!A:A,mrp_production!C:C)</f>
        <v>45942</v>
      </c>
      <c r="C103" t="s">
        <v>134</v>
      </c>
      <c r="D103" t="s">
        <v>21</v>
      </c>
      <c r="E103" s="4">
        <v>-1.5</v>
      </c>
      <c r="F103" t="s">
        <v>135</v>
      </c>
      <c r="G103" s="4">
        <v>2.08</v>
      </c>
      <c r="H103" s="5">
        <v>-3.12</v>
      </c>
    </row>
    <row r="104" spans="1:8" x14ac:dyDescent="0.2">
      <c r="A104" t="s">
        <v>120</v>
      </c>
      <c r="B104" s="3">
        <f>_xlfn.XLOOKUP(A104,mrp_production!A:A,mrp_production!C:C)</f>
        <v>45942</v>
      </c>
      <c r="C104" t="s">
        <v>42</v>
      </c>
      <c r="D104" t="s">
        <v>21</v>
      </c>
      <c r="E104" s="4">
        <v>-4</v>
      </c>
      <c r="F104" t="s">
        <v>43</v>
      </c>
      <c r="G104" s="4">
        <v>7.5</v>
      </c>
      <c r="H104" s="5">
        <v>-30</v>
      </c>
    </row>
    <row r="105" spans="1:8" x14ac:dyDescent="0.2">
      <c r="A105" t="s">
        <v>120</v>
      </c>
      <c r="B105" s="3">
        <f>_xlfn.XLOOKUP(A105,mrp_production!A:A,mrp_production!C:C)</f>
        <v>45942</v>
      </c>
      <c r="C105" t="s">
        <v>53</v>
      </c>
      <c r="D105" t="s">
        <v>54</v>
      </c>
      <c r="E105" s="4">
        <v>-0.2</v>
      </c>
      <c r="F105" t="s">
        <v>55</v>
      </c>
      <c r="G105" s="4">
        <v>0.65</v>
      </c>
      <c r="H105" s="5">
        <v>-0.13</v>
      </c>
    </row>
    <row r="106" spans="1:8" x14ac:dyDescent="0.2">
      <c r="A106" t="s">
        <v>120</v>
      </c>
      <c r="B106" s="3">
        <f>_xlfn.XLOOKUP(A106,mrp_production!A:A,mrp_production!C:C)</f>
        <v>45942</v>
      </c>
      <c r="C106" t="s">
        <v>57</v>
      </c>
      <c r="D106" t="s">
        <v>54</v>
      </c>
      <c r="E106" s="4">
        <v>-0.4</v>
      </c>
      <c r="F106" t="s">
        <v>55</v>
      </c>
      <c r="G106" s="4">
        <v>16.483000000000001</v>
      </c>
      <c r="H106" s="5">
        <v>-6.593</v>
      </c>
    </row>
    <row r="107" spans="1:8" x14ac:dyDescent="0.2">
      <c r="A107" t="s">
        <v>120</v>
      </c>
      <c r="B107" s="3">
        <f>_xlfn.XLOOKUP(A107,mrp_production!A:A,mrp_production!C:C)</f>
        <v>45942</v>
      </c>
      <c r="C107" t="s">
        <v>58</v>
      </c>
      <c r="D107" t="s">
        <v>54</v>
      </c>
      <c r="E107" s="4">
        <v>-1</v>
      </c>
      <c r="F107" t="s">
        <v>55</v>
      </c>
      <c r="G107" s="4">
        <v>1.133</v>
      </c>
      <c r="H107" s="5">
        <v>-1.133</v>
      </c>
    </row>
    <row r="108" spans="1:8" x14ac:dyDescent="0.2">
      <c r="A108" t="s">
        <v>120</v>
      </c>
      <c r="B108" s="3">
        <f>_xlfn.XLOOKUP(A108,mrp_production!A:A,mrp_production!C:C)</f>
        <v>45942</v>
      </c>
      <c r="C108" t="s">
        <v>136</v>
      </c>
      <c r="D108" t="s">
        <v>54</v>
      </c>
      <c r="E108" s="4">
        <v>-0.4</v>
      </c>
      <c r="F108" t="s">
        <v>55</v>
      </c>
      <c r="G108" s="4">
        <v>3.605</v>
      </c>
      <c r="H108" s="5">
        <v>-1.4419999999999999</v>
      </c>
    </row>
    <row r="109" spans="1:8" x14ac:dyDescent="0.2">
      <c r="A109" t="s">
        <v>120</v>
      </c>
      <c r="B109" s="3">
        <f>_xlfn.XLOOKUP(A109,mrp_production!A:A,mrp_production!C:C)</f>
        <v>45942</v>
      </c>
      <c r="C109" t="s">
        <v>59</v>
      </c>
      <c r="D109" t="s">
        <v>54</v>
      </c>
      <c r="E109" s="4">
        <v>-0.1</v>
      </c>
      <c r="F109" t="s">
        <v>55</v>
      </c>
      <c r="G109" s="4">
        <v>0.55000000000000004</v>
      </c>
      <c r="H109" s="5">
        <v>-5.5E-2</v>
      </c>
    </row>
    <row r="110" spans="1:8" x14ac:dyDescent="0.2">
      <c r="A110" t="s">
        <v>120</v>
      </c>
      <c r="B110" s="3">
        <f>_xlfn.XLOOKUP(A110,mrp_production!A:A,mrp_production!C:C)</f>
        <v>45942</v>
      </c>
      <c r="C110" t="s">
        <v>60</v>
      </c>
      <c r="D110" t="s">
        <v>54</v>
      </c>
      <c r="E110" s="4">
        <v>-1</v>
      </c>
      <c r="F110" t="s">
        <v>55</v>
      </c>
      <c r="G110" s="4">
        <v>1.04</v>
      </c>
      <c r="H110" s="5">
        <v>-1.04</v>
      </c>
    </row>
    <row r="111" spans="1:8" x14ac:dyDescent="0.2">
      <c r="A111" t="s">
        <v>120</v>
      </c>
      <c r="B111" s="3">
        <f>_xlfn.XLOOKUP(A111,mrp_production!A:A,mrp_production!C:C)</f>
        <v>45942</v>
      </c>
      <c r="C111" t="s">
        <v>137</v>
      </c>
      <c r="D111" t="s">
        <v>54</v>
      </c>
      <c r="E111" s="4">
        <v>-1</v>
      </c>
      <c r="F111" t="s">
        <v>55</v>
      </c>
      <c r="G111" s="4">
        <v>0.44700000000000001</v>
      </c>
      <c r="H111" s="5">
        <v>-0.44700000000000001</v>
      </c>
    </row>
    <row r="112" spans="1:8" x14ac:dyDescent="0.2">
      <c r="A112" t="s">
        <v>120</v>
      </c>
      <c r="B112" s="3">
        <f>_xlfn.XLOOKUP(A112,mrp_production!A:A,mrp_production!C:C)</f>
        <v>45942</v>
      </c>
      <c r="C112" t="s">
        <v>62</v>
      </c>
      <c r="D112" t="s">
        <v>54</v>
      </c>
      <c r="E112" s="4">
        <v>-0.2</v>
      </c>
      <c r="F112" t="s">
        <v>55</v>
      </c>
      <c r="G112" s="4">
        <v>14.425000000000001</v>
      </c>
      <c r="H112" s="5">
        <v>-2.8849999999999998</v>
      </c>
    </row>
    <row r="113" spans="1:8" x14ac:dyDescent="0.2">
      <c r="A113" t="s">
        <v>120</v>
      </c>
      <c r="B113" s="3">
        <f>_xlfn.XLOOKUP(A113,mrp_production!A:A,mrp_production!C:C)</f>
        <v>45942</v>
      </c>
      <c r="C113" t="s">
        <v>138</v>
      </c>
      <c r="D113" t="s">
        <v>54</v>
      </c>
      <c r="E113" s="4">
        <v>-2</v>
      </c>
      <c r="F113" t="s">
        <v>55</v>
      </c>
      <c r="G113" s="4">
        <v>0.38</v>
      </c>
      <c r="H113" s="5">
        <v>-0.76</v>
      </c>
    </row>
    <row r="114" spans="1:8" x14ac:dyDescent="0.2">
      <c r="A114" t="s">
        <v>120</v>
      </c>
      <c r="B114" s="3">
        <f>_xlfn.XLOOKUP(A114,mrp_production!A:A,mrp_production!C:C)</f>
        <v>45942</v>
      </c>
      <c r="C114" t="s">
        <v>64</v>
      </c>
      <c r="D114" t="s">
        <v>54</v>
      </c>
      <c r="E114" s="4">
        <v>-2</v>
      </c>
      <c r="F114" t="s">
        <v>55</v>
      </c>
      <c r="G114" s="4">
        <v>2.06</v>
      </c>
      <c r="H114" s="5">
        <v>-4.12</v>
      </c>
    </row>
    <row r="115" spans="1:8" x14ac:dyDescent="0.2">
      <c r="A115" t="s">
        <v>120</v>
      </c>
      <c r="B115" s="3">
        <f>_xlfn.XLOOKUP(A115,mrp_production!A:A,mrp_production!C:C)</f>
        <v>45942</v>
      </c>
      <c r="C115" t="s">
        <v>65</v>
      </c>
      <c r="D115" t="s">
        <v>54</v>
      </c>
      <c r="E115" s="4">
        <v>-3</v>
      </c>
      <c r="F115" t="s">
        <v>55</v>
      </c>
      <c r="G115" s="4">
        <v>1.504</v>
      </c>
      <c r="H115" s="5">
        <v>-4.5129999999999999</v>
      </c>
    </row>
    <row r="116" spans="1:8" x14ac:dyDescent="0.2">
      <c r="A116" t="s">
        <v>120</v>
      </c>
      <c r="B116" s="3">
        <f>_xlfn.XLOOKUP(A116,mrp_production!A:A,mrp_production!C:C)</f>
        <v>45942</v>
      </c>
      <c r="C116" t="s">
        <v>66</v>
      </c>
      <c r="D116" t="s">
        <v>54</v>
      </c>
      <c r="E116" s="4">
        <v>-1</v>
      </c>
      <c r="F116" t="s">
        <v>55</v>
      </c>
      <c r="G116" s="4">
        <v>0.997</v>
      </c>
      <c r="H116" s="5">
        <v>-0.997</v>
      </c>
    </row>
    <row r="117" spans="1:8" x14ac:dyDescent="0.2">
      <c r="A117" t="s">
        <v>120</v>
      </c>
      <c r="B117" s="3">
        <f>_xlfn.XLOOKUP(A117,mrp_production!A:A,mrp_production!C:C)</f>
        <v>45942</v>
      </c>
      <c r="C117" t="s">
        <v>67</v>
      </c>
      <c r="D117" t="s">
        <v>54</v>
      </c>
      <c r="E117" s="4">
        <v>-2</v>
      </c>
      <c r="F117" t="s">
        <v>55</v>
      </c>
      <c r="G117" s="4">
        <v>1.03</v>
      </c>
      <c r="H117" s="5">
        <v>-2.06</v>
      </c>
    </row>
    <row r="118" spans="1:8" x14ac:dyDescent="0.2">
      <c r="A118" t="s">
        <v>120</v>
      </c>
      <c r="B118" s="3">
        <f>_xlfn.XLOOKUP(A118,mrp_production!A:A,mrp_production!C:C)</f>
        <v>45942</v>
      </c>
      <c r="C118" t="s">
        <v>69</v>
      </c>
      <c r="D118" t="s">
        <v>54</v>
      </c>
      <c r="E118" s="4">
        <v>-1</v>
      </c>
      <c r="F118" t="s">
        <v>55</v>
      </c>
      <c r="G118" s="4">
        <v>1.6</v>
      </c>
      <c r="H118" s="5">
        <v>-1.6</v>
      </c>
    </row>
    <row r="119" spans="1:8" x14ac:dyDescent="0.2">
      <c r="A119" t="s">
        <v>120</v>
      </c>
      <c r="B119" s="3">
        <f>_xlfn.XLOOKUP(A119,mrp_production!A:A,mrp_production!C:C)</f>
        <v>45942</v>
      </c>
      <c r="C119" t="s">
        <v>70</v>
      </c>
      <c r="D119" t="s">
        <v>54</v>
      </c>
      <c r="E119" s="4">
        <v>-1</v>
      </c>
      <c r="F119" t="s">
        <v>55</v>
      </c>
      <c r="G119" s="4">
        <v>1.504</v>
      </c>
      <c r="H119" s="5">
        <v>-1.504</v>
      </c>
    </row>
    <row r="120" spans="1:8" x14ac:dyDescent="0.2">
      <c r="A120" t="s">
        <v>120</v>
      </c>
      <c r="B120" s="3">
        <f>_xlfn.XLOOKUP(A120,mrp_production!A:A,mrp_production!C:C)</f>
        <v>45942</v>
      </c>
      <c r="C120" t="s">
        <v>71</v>
      </c>
      <c r="D120" t="s">
        <v>54</v>
      </c>
      <c r="E120" s="4">
        <v>-3</v>
      </c>
      <c r="F120" t="s">
        <v>55</v>
      </c>
      <c r="G120" s="4">
        <v>1.504</v>
      </c>
      <c r="H120" s="5">
        <v>-4.5129999999999999</v>
      </c>
    </row>
    <row r="121" spans="1:8" x14ac:dyDescent="0.2">
      <c r="A121" t="s">
        <v>120</v>
      </c>
      <c r="B121" s="3">
        <f>_xlfn.XLOOKUP(A121,mrp_production!A:A,mrp_production!C:C)</f>
        <v>45942</v>
      </c>
      <c r="C121" t="s">
        <v>72</v>
      </c>
      <c r="D121" t="s">
        <v>54</v>
      </c>
      <c r="E121" s="4">
        <v>-8</v>
      </c>
      <c r="F121" t="s">
        <v>55</v>
      </c>
      <c r="G121" s="4">
        <v>0.89300000000000002</v>
      </c>
      <c r="H121" s="5">
        <v>-7.1420000000000003</v>
      </c>
    </row>
    <row r="122" spans="1:8" x14ac:dyDescent="0.2">
      <c r="A122" t="s">
        <v>120</v>
      </c>
      <c r="B122" s="3">
        <f>_xlfn.XLOOKUP(A122,mrp_production!A:A,mrp_production!C:C)</f>
        <v>45942</v>
      </c>
      <c r="C122" t="s">
        <v>103</v>
      </c>
      <c r="D122" t="s">
        <v>54</v>
      </c>
      <c r="E122" s="4">
        <v>-0.5</v>
      </c>
      <c r="F122" t="s">
        <v>55</v>
      </c>
      <c r="G122" s="4">
        <v>1.236</v>
      </c>
      <c r="H122" s="5">
        <v>-0.61799999999999999</v>
      </c>
    </row>
    <row r="123" spans="1:8" x14ac:dyDescent="0.2">
      <c r="A123" t="s">
        <v>120</v>
      </c>
      <c r="B123" s="3">
        <f>_xlfn.XLOOKUP(A123,mrp_production!A:A,mrp_production!C:C)</f>
        <v>45942</v>
      </c>
      <c r="C123" t="s">
        <v>61</v>
      </c>
      <c r="D123" t="s">
        <v>54</v>
      </c>
      <c r="E123" s="4">
        <v>-2</v>
      </c>
      <c r="F123" t="s">
        <v>55</v>
      </c>
      <c r="G123" s="4">
        <v>1.133</v>
      </c>
      <c r="H123" s="5">
        <v>-2.266</v>
      </c>
    </row>
    <row r="124" spans="1:8" x14ac:dyDescent="0.2">
      <c r="A124" t="s">
        <v>120</v>
      </c>
      <c r="B124" s="3">
        <f>_xlfn.XLOOKUP(A124,mrp_production!A:A,mrp_production!C:C)</f>
        <v>45942</v>
      </c>
      <c r="C124" t="s">
        <v>104</v>
      </c>
      <c r="D124" t="s">
        <v>54</v>
      </c>
      <c r="E124" s="4">
        <v>-1</v>
      </c>
      <c r="F124" t="s">
        <v>55</v>
      </c>
      <c r="G124" s="4">
        <v>0.64</v>
      </c>
      <c r="H124" s="5">
        <v>-0.64</v>
      </c>
    </row>
    <row r="125" spans="1:8" x14ac:dyDescent="0.2">
      <c r="A125" t="s">
        <v>120</v>
      </c>
      <c r="B125" s="3">
        <f>_xlfn.XLOOKUP(A125,mrp_production!A:A,mrp_production!C:C)</f>
        <v>45942</v>
      </c>
      <c r="C125" t="s">
        <v>75</v>
      </c>
      <c r="D125" t="s">
        <v>15</v>
      </c>
      <c r="E125" s="4">
        <v>-1</v>
      </c>
      <c r="F125" t="s">
        <v>76</v>
      </c>
      <c r="G125" s="4">
        <v>4.3499999999999996</v>
      </c>
      <c r="H125" s="5">
        <v>-4.3499999999999996</v>
      </c>
    </row>
    <row r="126" spans="1:8" x14ac:dyDescent="0.2">
      <c r="A126" t="s">
        <v>120</v>
      </c>
      <c r="B126" s="3">
        <f>_xlfn.XLOOKUP(A126,mrp_production!A:A,mrp_production!C:C)</f>
        <v>45942</v>
      </c>
      <c r="C126" t="s">
        <v>139</v>
      </c>
      <c r="D126" t="s">
        <v>15</v>
      </c>
      <c r="E126" s="4">
        <v>-0.3</v>
      </c>
      <c r="F126" t="s">
        <v>140</v>
      </c>
      <c r="G126" s="4">
        <v>37.9</v>
      </c>
      <c r="H126" s="5">
        <v>-11.37</v>
      </c>
    </row>
    <row r="127" spans="1:8" x14ac:dyDescent="0.2">
      <c r="A127" t="s">
        <v>120</v>
      </c>
      <c r="B127" s="3">
        <f>_xlfn.XLOOKUP(A127,mrp_production!A:A,mrp_production!C:C)</f>
        <v>45942</v>
      </c>
      <c r="C127" t="s">
        <v>105</v>
      </c>
      <c r="D127" t="s">
        <v>79</v>
      </c>
      <c r="E127" s="4">
        <v>-2</v>
      </c>
      <c r="F127" t="s">
        <v>80</v>
      </c>
      <c r="G127" s="4">
        <v>4.7</v>
      </c>
      <c r="H127" s="5">
        <v>-9.4</v>
      </c>
    </row>
    <row r="128" spans="1:8" x14ac:dyDescent="0.2">
      <c r="A128" t="s">
        <v>120</v>
      </c>
      <c r="B128" s="3">
        <f>_xlfn.XLOOKUP(A128,mrp_production!A:A,mrp_production!C:C)</f>
        <v>45942</v>
      </c>
      <c r="C128" t="s">
        <v>81</v>
      </c>
      <c r="D128" t="s">
        <v>79</v>
      </c>
      <c r="E128" s="4">
        <v>-2</v>
      </c>
      <c r="F128" t="s">
        <v>80</v>
      </c>
      <c r="G128" s="4">
        <v>4.2</v>
      </c>
      <c r="H128" s="5">
        <v>-8.4</v>
      </c>
    </row>
    <row r="129" spans="1:8" x14ac:dyDescent="0.2">
      <c r="A129" t="s">
        <v>120</v>
      </c>
      <c r="B129" s="3">
        <f>_xlfn.XLOOKUP(A129,mrp_production!A:A,mrp_production!C:C)</f>
        <v>45942</v>
      </c>
      <c r="C129" t="s">
        <v>106</v>
      </c>
      <c r="D129" t="s">
        <v>79</v>
      </c>
      <c r="E129" s="4">
        <v>-2</v>
      </c>
      <c r="F129" t="s">
        <v>80</v>
      </c>
      <c r="G129" s="4">
        <v>4.4000000000000004</v>
      </c>
      <c r="H129" s="5">
        <v>-8.8000000000000007</v>
      </c>
    </row>
    <row r="130" spans="1:8" x14ac:dyDescent="0.2">
      <c r="A130" t="s">
        <v>120</v>
      </c>
      <c r="B130" s="3">
        <f>_xlfn.XLOOKUP(A130,mrp_production!A:A,mrp_production!C:C)</f>
        <v>45942</v>
      </c>
      <c r="C130" t="s">
        <v>141</v>
      </c>
      <c r="D130" t="s">
        <v>79</v>
      </c>
      <c r="E130" s="4">
        <v>-30</v>
      </c>
      <c r="F130" t="s">
        <v>80</v>
      </c>
      <c r="G130" s="4">
        <v>5.1210000000000004</v>
      </c>
      <c r="H130" s="5">
        <v>-153.61500000000001</v>
      </c>
    </row>
    <row r="131" spans="1:8" x14ac:dyDescent="0.2">
      <c r="A131" t="s">
        <v>120</v>
      </c>
      <c r="B131" s="3">
        <f>_xlfn.XLOOKUP(A131,mrp_production!A:A,mrp_production!C:C)</f>
        <v>45942</v>
      </c>
      <c r="C131" t="s">
        <v>142</v>
      </c>
      <c r="D131" t="s">
        <v>83</v>
      </c>
      <c r="E131" s="4">
        <v>-15</v>
      </c>
      <c r="F131" t="s">
        <v>143</v>
      </c>
      <c r="G131" s="4">
        <v>13.42</v>
      </c>
      <c r="H131" s="5">
        <v>-201.3</v>
      </c>
    </row>
    <row r="132" spans="1:8" x14ac:dyDescent="0.2">
      <c r="A132" t="s">
        <v>120</v>
      </c>
      <c r="B132" s="3">
        <f>_xlfn.XLOOKUP(A132,mrp_production!A:A,mrp_production!C:C)</f>
        <v>45942</v>
      </c>
      <c r="C132" t="s">
        <v>144</v>
      </c>
      <c r="D132" t="s">
        <v>83</v>
      </c>
      <c r="E132" s="4">
        <v>-13.5</v>
      </c>
      <c r="F132" t="s">
        <v>145</v>
      </c>
      <c r="G132" s="4">
        <v>14.9</v>
      </c>
      <c r="H132" s="5">
        <v>-201.15</v>
      </c>
    </row>
    <row r="133" spans="1:8" x14ac:dyDescent="0.2">
      <c r="A133" t="s">
        <v>120</v>
      </c>
      <c r="B133" s="3">
        <f>_xlfn.XLOOKUP(A133,mrp_production!A:A,mrp_production!C:C)</f>
        <v>45942</v>
      </c>
      <c r="C133" t="s">
        <v>146</v>
      </c>
      <c r="D133" t="s">
        <v>86</v>
      </c>
      <c r="E133" s="4">
        <v>1</v>
      </c>
      <c r="F133" t="s">
        <v>87</v>
      </c>
      <c r="G133" s="4">
        <v>1269.104</v>
      </c>
      <c r="H133" s="5">
        <v>1269.104</v>
      </c>
    </row>
    <row r="134" spans="1:8" x14ac:dyDescent="0.2">
      <c r="A134" t="s">
        <v>147</v>
      </c>
      <c r="B134" s="3">
        <f>_xlfn.XLOOKUP(A134,mrp_production!A:A,mrp_production!C:C)</f>
        <v>45942</v>
      </c>
      <c r="C134" t="s">
        <v>148</v>
      </c>
      <c r="D134" t="s">
        <v>109</v>
      </c>
      <c r="E134" s="4">
        <v>-1</v>
      </c>
      <c r="F134" t="s">
        <v>149</v>
      </c>
      <c r="G134" s="4">
        <v>4</v>
      </c>
      <c r="H134" s="5">
        <v>-4</v>
      </c>
    </row>
    <row r="135" spans="1:8" x14ac:dyDescent="0.2">
      <c r="A135" t="s">
        <v>147</v>
      </c>
      <c r="B135" s="3">
        <f>_xlfn.XLOOKUP(A135,mrp_production!A:A,mrp_production!C:C)</f>
        <v>45942</v>
      </c>
      <c r="C135" t="s">
        <v>150</v>
      </c>
      <c r="D135" t="s">
        <v>112</v>
      </c>
      <c r="E135" s="4">
        <v>-0.33300000000000002</v>
      </c>
      <c r="F135" t="s">
        <v>116</v>
      </c>
      <c r="G135" s="4">
        <v>24.658000000000001</v>
      </c>
      <c r="H135" s="5">
        <v>-8.2110000000000003</v>
      </c>
    </row>
    <row r="136" spans="1:8" x14ac:dyDescent="0.2">
      <c r="A136" t="s">
        <v>147</v>
      </c>
      <c r="B136" s="3">
        <f>_xlfn.XLOOKUP(A136,mrp_production!A:A,mrp_production!C:C)</f>
        <v>45942</v>
      </c>
      <c r="C136" t="s">
        <v>151</v>
      </c>
      <c r="D136" t="s">
        <v>112</v>
      </c>
      <c r="E136" s="4">
        <v>-1</v>
      </c>
      <c r="F136" t="s">
        <v>152</v>
      </c>
      <c r="G136" s="4">
        <v>3.24</v>
      </c>
      <c r="H136" s="5">
        <v>-3.24</v>
      </c>
    </row>
    <row r="137" spans="1:8" x14ac:dyDescent="0.2">
      <c r="A137" t="s">
        <v>147</v>
      </c>
      <c r="B137" s="3">
        <f>_xlfn.XLOOKUP(A137,mrp_production!A:A,mrp_production!C:C)</f>
        <v>45942</v>
      </c>
      <c r="C137" t="s">
        <v>85</v>
      </c>
      <c r="D137" t="s">
        <v>86</v>
      </c>
      <c r="E137" s="4">
        <v>1</v>
      </c>
      <c r="F137" t="s">
        <v>87</v>
      </c>
      <c r="G137" s="4">
        <v>15.451000000000001</v>
      </c>
      <c r="H137" s="5">
        <v>15.451000000000001</v>
      </c>
    </row>
    <row r="138" spans="1:8" x14ac:dyDescent="0.2">
      <c r="A138" t="s">
        <v>7</v>
      </c>
      <c r="B138" s="3">
        <f>_xlfn.XLOOKUP(A138,mrp_production!A:A,mrp_production!C:C)</f>
        <v>45942</v>
      </c>
      <c r="C138" t="s">
        <v>44</v>
      </c>
      <c r="D138" t="s">
        <v>21</v>
      </c>
      <c r="E138" s="4">
        <v>0</v>
      </c>
      <c r="F138" t="s">
        <v>45</v>
      </c>
      <c r="G138" s="4">
        <v>0</v>
      </c>
      <c r="H138" s="5">
        <v>5.0000000000000001E-3</v>
      </c>
    </row>
    <row r="139" spans="1:8" x14ac:dyDescent="0.2">
      <c r="A139" t="s">
        <v>120</v>
      </c>
      <c r="B139" s="3">
        <f>_xlfn.XLOOKUP(A139,mrp_production!A:A,mrp_production!C:C)</f>
        <v>45942</v>
      </c>
      <c r="C139" t="s">
        <v>44</v>
      </c>
      <c r="D139" t="s">
        <v>21</v>
      </c>
      <c r="E139" s="4">
        <v>0</v>
      </c>
      <c r="F139" t="s">
        <v>45</v>
      </c>
      <c r="G139" s="4">
        <v>0</v>
      </c>
      <c r="H139" s="5">
        <v>1.2E-2</v>
      </c>
    </row>
    <row r="140" spans="1:8" x14ac:dyDescent="0.2">
      <c r="A140" t="s">
        <v>107</v>
      </c>
      <c r="B140" s="3">
        <f>_xlfn.XLOOKUP(A140,mrp_production!A:A,mrp_production!C:C)</f>
        <v>45942</v>
      </c>
      <c r="C140" t="s">
        <v>117</v>
      </c>
      <c r="D140" t="s">
        <v>109</v>
      </c>
      <c r="E140" s="4">
        <v>0</v>
      </c>
      <c r="F140" t="s">
        <v>118</v>
      </c>
      <c r="G140" s="4">
        <v>0</v>
      </c>
      <c r="H140" s="5">
        <v>1E-3</v>
      </c>
    </row>
  </sheetData>
  <autoFilter ref="A1:H14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DDA10-443A-AB4F-BD03-8589C50C29FA}">
  <dimension ref="A1:E138"/>
  <sheetViews>
    <sheetView workbookViewId="0">
      <selection activeCell="B21" sqref="B21"/>
    </sheetView>
  </sheetViews>
  <sheetFormatPr baseColWidth="10" defaultColWidth="8.83203125" defaultRowHeight="15" x14ac:dyDescent="0.2"/>
  <cols>
    <col min="1" max="1" width="12.6640625" bestFit="1" customWidth="1"/>
    <col min="2" max="2" width="36.5" bestFit="1" customWidth="1"/>
    <col min="3" max="3" width="15.5" style="3" bestFit="1" customWidth="1"/>
    <col min="4" max="4" width="36.33203125" bestFit="1" customWidth="1"/>
    <col min="5" max="5" width="18.83203125" bestFit="1" customWidth="1"/>
  </cols>
  <sheetData>
    <row r="1" spans="1:5" x14ac:dyDescent="0.2">
      <c r="A1" s="1" t="s">
        <v>0</v>
      </c>
      <c r="B1" s="1" t="s">
        <v>1</v>
      </c>
      <c r="C1" s="2" t="s">
        <v>153</v>
      </c>
      <c r="D1" s="1" t="s">
        <v>154</v>
      </c>
      <c r="E1" s="1" t="s">
        <v>155</v>
      </c>
    </row>
    <row r="2" spans="1:5" x14ac:dyDescent="0.2">
      <c r="A2" t="s">
        <v>7</v>
      </c>
      <c r="B2" t="s">
        <v>85</v>
      </c>
      <c r="C2" s="3">
        <v>45942</v>
      </c>
      <c r="D2" t="s">
        <v>8</v>
      </c>
      <c r="E2" s="4">
        <v>14</v>
      </c>
    </row>
    <row r="3" spans="1:5" x14ac:dyDescent="0.2">
      <c r="A3" t="str">
        <f t="shared" ref="A3:C47" si="0">A2</f>
        <v>MK/MO/07016</v>
      </c>
      <c r="B3" t="str">
        <f t="shared" si="0"/>
        <v>[MK5001025] Riffa Consumption</v>
      </c>
      <c r="C3" s="3">
        <f t="shared" si="0"/>
        <v>45942</v>
      </c>
      <c r="D3" t="s">
        <v>11</v>
      </c>
      <c r="E3" s="4">
        <v>4</v>
      </c>
    </row>
    <row r="4" spans="1:5" x14ac:dyDescent="0.2">
      <c r="A4" t="str">
        <f t="shared" si="0"/>
        <v>MK/MO/07016</v>
      </c>
      <c r="B4" t="str">
        <f t="shared" si="0"/>
        <v>[MK5001025] Riffa Consumption</v>
      </c>
      <c r="C4" s="3">
        <f t="shared" si="0"/>
        <v>45942</v>
      </c>
      <c r="D4" t="s">
        <v>14</v>
      </c>
      <c r="E4" s="4">
        <v>3</v>
      </c>
    </row>
    <row r="5" spans="1:5" x14ac:dyDescent="0.2">
      <c r="A5" t="str">
        <f t="shared" si="0"/>
        <v>MK/MO/07016</v>
      </c>
      <c r="B5" t="str">
        <f t="shared" si="0"/>
        <v>[MK5001025] Riffa Consumption</v>
      </c>
      <c r="C5" s="3">
        <f t="shared" si="0"/>
        <v>45942</v>
      </c>
      <c r="D5" t="s">
        <v>17</v>
      </c>
      <c r="E5" s="4">
        <v>2</v>
      </c>
    </row>
    <row r="6" spans="1:5" x14ac:dyDescent="0.2">
      <c r="A6" t="str">
        <f t="shared" si="0"/>
        <v>MK/MO/07016</v>
      </c>
      <c r="B6" t="str">
        <f t="shared" si="0"/>
        <v>[MK5001025] Riffa Consumption</v>
      </c>
      <c r="C6" s="3">
        <f t="shared" si="0"/>
        <v>45942</v>
      </c>
      <c r="D6" t="s">
        <v>20</v>
      </c>
      <c r="E6" s="4">
        <v>1</v>
      </c>
    </row>
    <row r="7" spans="1:5" x14ac:dyDescent="0.2">
      <c r="A7" t="str">
        <f t="shared" si="0"/>
        <v>MK/MO/07016</v>
      </c>
      <c r="B7" t="str">
        <f t="shared" si="0"/>
        <v>[MK5001025] Riffa Consumption</v>
      </c>
      <c r="C7" s="3">
        <f t="shared" si="0"/>
        <v>45942</v>
      </c>
      <c r="D7" t="s">
        <v>23</v>
      </c>
      <c r="E7" s="4">
        <v>12</v>
      </c>
    </row>
    <row r="8" spans="1:5" x14ac:dyDescent="0.2">
      <c r="A8" t="str">
        <f t="shared" si="0"/>
        <v>MK/MO/07016</v>
      </c>
      <c r="B8" t="str">
        <f t="shared" si="0"/>
        <v>[MK5001025] Riffa Consumption</v>
      </c>
      <c r="C8" s="3">
        <f t="shared" si="0"/>
        <v>45942</v>
      </c>
      <c r="D8" t="s">
        <v>25</v>
      </c>
      <c r="E8" s="4">
        <v>2</v>
      </c>
    </row>
    <row r="9" spans="1:5" x14ac:dyDescent="0.2">
      <c r="A9" t="str">
        <f t="shared" si="0"/>
        <v>MK/MO/07016</v>
      </c>
      <c r="B9" t="str">
        <f t="shared" si="0"/>
        <v>[MK5001025] Riffa Consumption</v>
      </c>
      <c r="C9" s="3">
        <f t="shared" si="0"/>
        <v>45942</v>
      </c>
      <c r="D9" t="s">
        <v>28</v>
      </c>
      <c r="E9" s="4">
        <v>2</v>
      </c>
    </row>
    <row r="10" spans="1:5" x14ac:dyDescent="0.2">
      <c r="A10" t="str">
        <f t="shared" si="0"/>
        <v>MK/MO/07016</v>
      </c>
      <c r="B10" t="str">
        <f t="shared" si="0"/>
        <v>[MK5001025] Riffa Consumption</v>
      </c>
      <c r="C10" s="3">
        <f t="shared" si="0"/>
        <v>45942</v>
      </c>
      <c r="D10" t="s">
        <v>30</v>
      </c>
      <c r="E10" s="4">
        <v>1.5</v>
      </c>
    </row>
    <row r="11" spans="1:5" x14ac:dyDescent="0.2">
      <c r="A11" t="str">
        <f t="shared" si="0"/>
        <v>MK/MO/07016</v>
      </c>
      <c r="B11" t="str">
        <f t="shared" si="0"/>
        <v>[MK5001025] Riffa Consumption</v>
      </c>
      <c r="C11" s="3">
        <f t="shared" si="0"/>
        <v>45942</v>
      </c>
      <c r="D11" t="s">
        <v>32</v>
      </c>
      <c r="E11" s="4">
        <v>2</v>
      </c>
    </row>
    <row r="12" spans="1:5" x14ac:dyDescent="0.2">
      <c r="A12" t="str">
        <f t="shared" si="0"/>
        <v>MK/MO/07016</v>
      </c>
      <c r="B12" t="str">
        <f t="shared" si="0"/>
        <v>[MK5001025] Riffa Consumption</v>
      </c>
      <c r="C12" s="3">
        <f t="shared" si="0"/>
        <v>45942</v>
      </c>
      <c r="D12" t="s">
        <v>34</v>
      </c>
      <c r="E12" s="4">
        <v>5</v>
      </c>
    </row>
    <row r="13" spans="1:5" x14ac:dyDescent="0.2">
      <c r="A13" t="str">
        <f t="shared" si="0"/>
        <v>MK/MO/07016</v>
      </c>
      <c r="B13" t="str">
        <f t="shared" si="0"/>
        <v>[MK5001025] Riffa Consumption</v>
      </c>
      <c r="C13" s="3">
        <f t="shared" si="0"/>
        <v>45942</v>
      </c>
      <c r="D13" t="s">
        <v>36</v>
      </c>
      <c r="E13" s="4">
        <v>5</v>
      </c>
    </row>
    <row r="14" spans="1:5" x14ac:dyDescent="0.2">
      <c r="A14" t="str">
        <f t="shared" si="0"/>
        <v>MK/MO/07016</v>
      </c>
      <c r="B14" t="str">
        <f t="shared" si="0"/>
        <v>[MK5001025] Riffa Consumption</v>
      </c>
      <c r="C14" s="3">
        <f t="shared" si="0"/>
        <v>45942</v>
      </c>
      <c r="D14" t="s">
        <v>37</v>
      </c>
      <c r="E14" s="4">
        <v>1</v>
      </c>
    </row>
    <row r="15" spans="1:5" x14ac:dyDescent="0.2">
      <c r="A15" t="str">
        <f t="shared" si="0"/>
        <v>MK/MO/07016</v>
      </c>
      <c r="B15" t="str">
        <f t="shared" si="0"/>
        <v>[MK5001025] Riffa Consumption</v>
      </c>
      <c r="C15" s="3">
        <f t="shared" si="0"/>
        <v>45942</v>
      </c>
      <c r="D15" t="s">
        <v>39</v>
      </c>
      <c r="E15" s="4">
        <v>20</v>
      </c>
    </row>
    <row r="16" spans="1:5" x14ac:dyDescent="0.2">
      <c r="A16" t="str">
        <f t="shared" si="0"/>
        <v>MK/MO/07016</v>
      </c>
      <c r="B16" t="str">
        <f t="shared" si="0"/>
        <v>[MK5001025] Riffa Consumption</v>
      </c>
      <c r="C16" s="3">
        <f t="shared" si="0"/>
        <v>45942</v>
      </c>
      <c r="D16" t="s">
        <v>41</v>
      </c>
      <c r="E16" s="4">
        <v>14</v>
      </c>
    </row>
    <row r="17" spans="1:5" x14ac:dyDescent="0.2">
      <c r="A17" t="str">
        <f t="shared" si="0"/>
        <v>MK/MO/07016</v>
      </c>
      <c r="B17" t="str">
        <f t="shared" si="0"/>
        <v>[MK5001025] Riffa Consumption</v>
      </c>
      <c r="C17" s="3">
        <f t="shared" si="0"/>
        <v>45942</v>
      </c>
      <c r="D17" t="s">
        <v>42</v>
      </c>
      <c r="E17" s="4">
        <v>1</v>
      </c>
    </row>
    <row r="18" spans="1:5" x14ac:dyDescent="0.2">
      <c r="A18" t="str">
        <f t="shared" si="0"/>
        <v>MK/MO/07016</v>
      </c>
      <c r="B18" t="str">
        <f t="shared" si="0"/>
        <v>[MK5001025] Riffa Consumption</v>
      </c>
      <c r="C18" s="3">
        <f t="shared" si="0"/>
        <v>45942</v>
      </c>
      <c r="D18" t="s">
        <v>44</v>
      </c>
      <c r="E18" s="4">
        <v>10</v>
      </c>
    </row>
    <row r="19" spans="1:5" x14ac:dyDescent="0.2">
      <c r="A19" t="str">
        <f t="shared" si="0"/>
        <v>MK/MO/07016</v>
      </c>
      <c r="B19" t="str">
        <f t="shared" si="0"/>
        <v>[MK5001025] Riffa Consumption</v>
      </c>
      <c r="C19" s="3">
        <f t="shared" si="0"/>
        <v>45942</v>
      </c>
      <c r="D19" t="s">
        <v>46</v>
      </c>
      <c r="E19" s="4">
        <v>1</v>
      </c>
    </row>
    <row r="20" spans="1:5" x14ac:dyDescent="0.2">
      <c r="A20" t="str">
        <f t="shared" si="0"/>
        <v>MK/MO/07016</v>
      </c>
      <c r="B20" t="str">
        <f t="shared" si="0"/>
        <v>[MK5001025] Riffa Consumption</v>
      </c>
      <c r="C20" s="3">
        <f t="shared" si="0"/>
        <v>45942</v>
      </c>
      <c r="D20" t="s">
        <v>47</v>
      </c>
      <c r="E20" s="4">
        <v>1</v>
      </c>
    </row>
    <row r="21" spans="1:5" x14ac:dyDescent="0.2">
      <c r="A21" t="str">
        <f t="shared" si="0"/>
        <v>MK/MO/07016</v>
      </c>
      <c r="B21" t="str">
        <f t="shared" si="0"/>
        <v>[MK5001025] Riffa Consumption</v>
      </c>
      <c r="C21" s="3">
        <f t="shared" si="0"/>
        <v>45942</v>
      </c>
      <c r="D21" t="s">
        <v>49</v>
      </c>
      <c r="E21" s="4">
        <v>2</v>
      </c>
    </row>
    <row r="22" spans="1:5" x14ac:dyDescent="0.2">
      <c r="A22" t="str">
        <f t="shared" si="0"/>
        <v>MK/MO/07016</v>
      </c>
      <c r="B22" t="str">
        <f t="shared" si="0"/>
        <v>[MK5001025] Riffa Consumption</v>
      </c>
      <c r="C22" s="3">
        <f t="shared" si="0"/>
        <v>45942</v>
      </c>
      <c r="D22" t="s">
        <v>156</v>
      </c>
      <c r="E22" s="4">
        <v>0</v>
      </c>
    </row>
    <row r="23" spans="1:5" x14ac:dyDescent="0.2">
      <c r="A23" t="str">
        <f t="shared" si="0"/>
        <v>MK/MO/07016</v>
      </c>
      <c r="B23" t="str">
        <f t="shared" si="0"/>
        <v>[MK5001025] Riffa Consumption</v>
      </c>
      <c r="C23" s="3">
        <f t="shared" si="0"/>
        <v>45942</v>
      </c>
      <c r="D23" t="s">
        <v>51</v>
      </c>
      <c r="E23" s="4">
        <v>3</v>
      </c>
    </row>
    <row r="24" spans="1:5" x14ac:dyDescent="0.2">
      <c r="A24" t="str">
        <f t="shared" si="0"/>
        <v>MK/MO/07016</v>
      </c>
      <c r="B24" t="str">
        <f t="shared" si="0"/>
        <v>[MK5001025] Riffa Consumption</v>
      </c>
      <c r="C24" s="3">
        <f t="shared" si="0"/>
        <v>45942</v>
      </c>
      <c r="D24" t="s">
        <v>53</v>
      </c>
      <c r="E24" s="4">
        <v>0.2</v>
      </c>
    </row>
    <row r="25" spans="1:5" x14ac:dyDescent="0.2">
      <c r="A25" t="str">
        <f t="shared" si="0"/>
        <v>MK/MO/07016</v>
      </c>
      <c r="B25" t="str">
        <f t="shared" si="0"/>
        <v>[MK5001025] Riffa Consumption</v>
      </c>
      <c r="C25" s="3">
        <f t="shared" si="0"/>
        <v>45942</v>
      </c>
      <c r="D25" t="s">
        <v>56</v>
      </c>
      <c r="E25" s="4">
        <v>0.8</v>
      </c>
    </row>
    <row r="26" spans="1:5" x14ac:dyDescent="0.2">
      <c r="A26" t="str">
        <f t="shared" si="0"/>
        <v>MK/MO/07016</v>
      </c>
      <c r="B26" t="str">
        <f t="shared" si="0"/>
        <v>[MK5001025] Riffa Consumption</v>
      </c>
      <c r="C26" s="3">
        <f t="shared" si="0"/>
        <v>45942</v>
      </c>
      <c r="D26" t="s">
        <v>57</v>
      </c>
      <c r="E26" s="4">
        <v>0.4</v>
      </c>
    </row>
    <row r="27" spans="1:5" x14ac:dyDescent="0.2">
      <c r="A27" t="str">
        <f t="shared" si="0"/>
        <v>MK/MO/07016</v>
      </c>
      <c r="B27" t="str">
        <f t="shared" si="0"/>
        <v>[MK5001025] Riffa Consumption</v>
      </c>
      <c r="C27" s="3">
        <f t="shared" si="0"/>
        <v>45942</v>
      </c>
      <c r="D27" t="s">
        <v>58</v>
      </c>
      <c r="E27" s="4">
        <v>0.8</v>
      </c>
    </row>
    <row r="28" spans="1:5" x14ac:dyDescent="0.2">
      <c r="A28" t="str">
        <f t="shared" si="0"/>
        <v>MK/MO/07016</v>
      </c>
      <c r="B28" t="str">
        <f t="shared" si="0"/>
        <v>[MK5001025] Riffa Consumption</v>
      </c>
      <c r="C28" s="3">
        <f t="shared" si="0"/>
        <v>45942</v>
      </c>
      <c r="D28" t="s">
        <v>59</v>
      </c>
      <c r="E28" s="4">
        <v>0.4</v>
      </c>
    </row>
    <row r="29" spans="1:5" x14ac:dyDescent="0.2">
      <c r="A29" t="str">
        <f t="shared" si="0"/>
        <v>MK/MO/07016</v>
      </c>
      <c r="B29" t="str">
        <f t="shared" si="0"/>
        <v>[MK5001025] Riffa Consumption</v>
      </c>
      <c r="C29" s="3">
        <f t="shared" si="0"/>
        <v>45942</v>
      </c>
      <c r="D29" t="s">
        <v>60</v>
      </c>
      <c r="E29" s="4">
        <v>0.3</v>
      </c>
    </row>
    <row r="30" spans="1:5" x14ac:dyDescent="0.2">
      <c r="A30" t="str">
        <f t="shared" si="0"/>
        <v>MK/MO/07016</v>
      </c>
      <c r="B30" t="str">
        <f t="shared" si="0"/>
        <v>[MK5001025] Riffa Consumption</v>
      </c>
      <c r="C30" s="3">
        <f t="shared" si="0"/>
        <v>45942</v>
      </c>
      <c r="D30" t="s">
        <v>61</v>
      </c>
      <c r="E30" s="4">
        <v>0.6</v>
      </c>
    </row>
    <row r="31" spans="1:5" x14ac:dyDescent="0.2">
      <c r="A31" t="str">
        <f t="shared" si="0"/>
        <v>MK/MO/07016</v>
      </c>
      <c r="B31" t="str">
        <f t="shared" si="0"/>
        <v>[MK5001025] Riffa Consumption</v>
      </c>
      <c r="C31" s="3">
        <f t="shared" si="0"/>
        <v>45942</v>
      </c>
      <c r="D31" t="s">
        <v>62</v>
      </c>
      <c r="E31" s="4">
        <v>0.1</v>
      </c>
    </row>
    <row r="32" spans="1:5" x14ac:dyDescent="0.2">
      <c r="A32" t="str">
        <f t="shared" si="0"/>
        <v>MK/MO/07016</v>
      </c>
      <c r="B32" t="str">
        <f t="shared" si="0"/>
        <v>[MK5001025] Riffa Consumption</v>
      </c>
      <c r="C32" s="3">
        <f t="shared" si="0"/>
        <v>45942</v>
      </c>
      <c r="D32" t="s">
        <v>63</v>
      </c>
      <c r="E32" s="4">
        <v>0.2</v>
      </c>
    </row>
    <row r="33" spans="1:5" x14ac:dyDescent="0.2">
      <c r="A33" t="str">
        <f t="shared" si="0"/>
        <v>MK/MO/07016</v>
      </c>
      <c r="B33" t="str">
        <f t="shared" si="0"/>
        <v>[MK5001025] Riffa Consumption</v>
      </c>
      <c r="C33" s="3">
        <f t="shared" si="0"/>
        <v>45942</v>
      </c>
      <c r="D33" t="s">
        <v>64</v>
      </c>
      <c r="E33" s="4">
        <v>0.3</v>
      </c>
    </row>
    <row r="34" spans="1:5" x14ac:dyDescent="0.2">
      <c r="A34" t="str">
        <f t="shared" si="0"/>
        <v>MK/MO/07016</v>
      </c>
      <c r="B34" t="str">
        <f t="shared" si="0"/>
        <v>[MK5001025] Riffa Consumption</v>
      </c>
      <c r="C34" s="3">
        <f t="shared" si="0"/>
        <v>45942</v>
      </c>
      <c r="D34" t="s">
        <v>65</v>
      </c>
      <c r="E34" s="4">
        <v>1</v>
      </c>
    </row>
    <row r="35" spans="1:5" x14ac:dyDescent="0.2">
      <c r="A35" t="str">
        <f t="shared" si="0"/>
        <v>MK/MO/07016</v>
      </c>
      <c r="B35" t="str">
        <f t="shared" si="0"/>
        <v>[MK5001025] Riffa Consumption</v>
      </c>
      <c r="C35" s="3">
        <f t="shared" si="0"/>
        <v>45942</v>
      </c>
      <c r="D35" t="s">
        <v>66</v>
      </c>
      <c r="E35" s="4">
        <v>1</v>
      </c>
    </row>
    <row r="36" spans="1:5" x14ac:dyDescent="0.2">
      <c r="A36" t="str">
        <f t="shared" si="0"/>
        <v>MK/MO/07016</v>
      </c>
      <c r="B36" t="str">
        <f t="shared" si="0"/>
        <v>[MK5001025] Riffa Consumption</v>
      </c>
      <c r="C36" s="3">
        <f t="shared" si="0"/>
        <v>45942</v>
      </c>
      <c r="D36" t="s">
        <v>67</v>
      </c>
      <c r="E36" s="4">
        <v>0.4</v>
      </c>
    </row>
    <row r="37" spans="1:5" x14ac:dyDescent="0.2">
      <c r="A37" t="str">
        <f t="shared" si="0"/>
        <v>MK/MO/07016</v>
      </c>
      <c r="B37" t="str">
        <f t="shared" si="0"/>
        <v>[MK5001025] Riffa Consumption</v>
      </c>
      <c r="C37" s="3">
        <f t="shared" si="0"/>
        <v>45942</v>
      </c>
      <c r="D37" t="s">
        <v>68</v>
      </c>
      <c r="E37" s="4">
        <v>1</v>
      </c>
    </row>
    <row r="38" spans="1:5" x14ac:dyDescent="0.2">
      <c r="A38" t="str">
        <f t="shared" si="0"/>
        <v>MK/MO/07016</v>
      </c>
      <c r="B38" t="str">
        <f t="shared" si="0"/>
        <v>[MK5001025] Riffa Consumption</v>
      </c>
      <c r="C38" s="3">
        <f t="shared" si="0"/>
        <v>45942</v>
      </c>
      <c r="D38" t="s">
        <v>69</v>
      </c>
      <c r="E38" s="4">
        <v>1</v>
      </c>
    </row>
    <row r="39" spans="1:5" x14ac:dyDescent="0.2">
      <c r="A39" t="str">
        <f t="shared" si="0"/>
        <v>MK/MO/07016</v>
      </c>
      <c r="B39" t="str">
        <f t="shared" si="0"/>
        <v>[MK5001025] Riffa Consumption</v>
      </c>
      <c r="C39" s="3">
        <f t="shared" si="0"/>
        <v>45942</v>
      </c>
      <c r="D39" t="s">
        <v>70</v>
      </c>
      <c r="E39" s="4">
        <v>1</v>
      </c>
    </row>
    <row r="40" spans="1:5" x14ac:dyDescent="0.2">
      <c r="A40" t="str">
        <f t="shared" si="0"/>
        <v>MK/MO/07016</v>
      </c>
      <c r="B40" t="str">
        <f t="shared" si="0"/>
        <v>[MK5001025] Riffa Consumption</v>
      </c>
      <c r="C40" s="3">
        <f t="shared" si="0"/>
        <v>45942</v>
      </c>
      <c r="D40" t="s">
        <v>71</v>
      </c>
      <c r="E40" s="4">
        <v>1</v>
      </c>
    </row>
    <row r="41" spans="1:5" x14ac:dyDescent="0.2">
      <c r="A41" t="str">
        <f t="shared" si="0"/>
        <v>MK/MO/07016</v>
      </c>
      <c r="B41" t="str">
        <f t="shared" si="0"/>
        <v>[MK5001025] Riffa Consumption</v>
      </c>
      <c r="C41" s="3">
        <f t="shared" si="0"/>
        <v>45942</v>
      </c>
      <c r="D41" t="s">
        <v>72</v>
      </c>
      <c r="E41" s="4">
        <v>2</v>
      </c>
    </row>
    <row r="42" spans="1:5" x14ac:dyDescent="0.2">
      <c r="A42" t="str">
        <f t="shared" si="0"/>
        <v>MK/MO/07016</v>
      </c>
      <c r="B42" t="str">
        <f t="shared" si="0"/>
        <v>[MK5001025] Riffa Consumption</v>
      </c>
      <c r="C42" s="3">
        <f t="shared" si="0"/>
        <v>45942</v>
      </c>
      <c r="D42" t="s">
        <v>73</v>
      </c>
      <c r="E42" s="4">
        <v>5</v>
      </c>
    </row>
    <row r="43" spans="1:5" x14ac:dyDescent="0.2">
      <c r="A43" t="str">
        <f t="shared" si="0"/>
        <v>MK/MO/07016</v>
      </c>
      <c r="B43" t="str">
        <f t="shared" si="0"/>
        <v>[MK5001025] Riffa Consumption</v>
      </c>
      <c r="C43" s="3">
        <f t="shared" si="0"/>
        <v>45942</v>
      </c>
      <c r="D43" t="s">
        <v>75</v>
      </c>
      <c r="E43" s="4">
        <v>1</v>
      </c>
    </row>
    <row r="44" spans="1:5" x14ac:dyDescent="0.2">
      <c r="A44" t="str">
        <f t="shared" si="0"/>
        <v>MK/MO/07016</v>
      </c>
      <c r="B44" t="str">
        <f t="shared" si="0"/>
        <v>[MK5001025] Riffa Consumption</v>
      </c>
      <c r="C44" s="3">
        <f t="shared" si="0"/>
        <v>45942</v>
      </c>
      <c r="D44" t="s">
        <v>77</v>
      </c>
      <c r="E44" s="4">
        <v>1</v>
      </c>
    </row>
    <row r="45" spans="1:5" x14ac:dyDescent="0.2">
      <c r="A45" t="str">
        <f t="shared" si="0"/>
        <v>MK/MO/07016</v>
      </c>
      <c r="B45" t="str">
        <f t="shared" si="0"/>
        <v>[MK5001025] Riffa Consumption</v>
      </c>
      <c r="C45" s="3">
        <f t="shared" si="0"/>
        <v>45942</v>
      </c>
      <c r="D45" t="s">
        <v>78</v>
      </c>
      <c r="E45" s="4">
        <v>1</v>
      </c>
    </row>
    <row r="46" spans="1:5" x14ac:dyDescent="0.2">
      <c r="A46" t="str">
        <f t="shared" si="0"/>
        <v>MK/MO/07016</v>
      </c>
      <c r="B46" t="str">
        <f t="shared" si="0"/>
        <v>[MK5001025] Riffa Consumption</v>
      </c>
      <c r="C46" s="3">
        <f t="shared" si="0"/>
        <v>45942</v>
      </c>
      <c r="D46" t="s">
        <v>81</v>
      </c>
      <c r="E46" s="4">
        <v>1</v>
      </c>
    </row>
    <row r="47" spans="1:5" x14ac:dyDescent="0.2">
      <c r="A47" t="str">
        <f t="shared" si="0"/>
        <v>MK/MO/07016</v>
      </c>
      <c r="B47" t="str">
        <f t="shared" si="0"/>
        <v>[MK5001025] Riffa Consumption</v>
      </c>
      <c r="C47" s="3">
        <f t="shared" si="0"/>
        <v>45942</v>
      </c>
      <c r="D47" t="s">
        <v>82</v>
      </c>
      <c r="E47" s="4">
        <v>3</v>
      </c>
    </row>
    <row r="48" spans="1:5" x14ac:dyDescent="0.2">
      <c r="A48" t="s">
        <v>88</v>
      </c>
      <c r="B48" t="s">
        <v>85</v>
      </c>
      <c r="C48" s="3">
        <v>45942</v>
      </c>
      <c r="D48" t="s">
        <v>89</v>
      </c>
      <c r="E48" s="4">
        <v>40</v>
      </c>
    </row>
    <row r="49" spans="1:5" x14ac:dyDescent="0.2">
      <c r="A49" t="str">
        <f t="shared" ref="A49:C72" si="1">A48</f>
        <v>MK/MO/07017</v>
      </c>
      <c r="B49" t="str">
        <f t="shared" si="1"/>
        <v>[MK5001025] Riffa Consumption</v>
      </c>
      <c r="C49" s="3">
        <f t="shared" si="1"/>
        <v>45942</v>
      </c>
      <c r="D49" t="s">
        <v>90</v>
      </c>
      <c r="E49" s="4">
        <v>28</v>
      </c>
    </row>
    <row r="50" spans="1:5" x14ac:dyDescent="0.2">
      <c r="A50" t="str">
        <f t="shared" si="1"/>
        <v>MK/MO/07017</v>
      </c>
      <c r="B50" t="str">
        <f t="shared" si="1"/>
        <v>[MK5001025] Riffa Consumption</v>
      </c>
      <c r="C50" s="3">
        <f t="shared" si="1"/>
        <v>45942</v>
      </c>
      <c r="D50" t="s">
        <v>11</v>
      </c>
      <c r="E50" s="4">
        <v>2</v>
      </c>
    </row>
    <row r="51" spans="1:5" x14ac:dyDescent="0.2">
      <c r="A51" t="str">
        <f t="shared" si="1"/>
        <v>MK/MO/07017</v>
      </c>
      <c r="B51" t="str">
        <f t="shared" si="1"/>
        <v>[MK5001025] Riffa Consumption</v>
      </c>
      <c r="C51" s="3">
        <f t="shared" si="1"/>
        <v>45942</v>
      </c>
      <c r="D51" t="s">
        <v>92</v>
      </c>
      <c r="E51" s="4">
        <v>1</v>
      </c>
    </row>
    <row r="52" spans="1:5" x14ac:dyDescent="0.2">
      <c r="A52" t="str">
        <f t="shared" si="1"/>
        <v>MK/MO/07017</v>
      </c>
      <c r="B52" t="str">
        <f t="shared" si="1"/>
        <v>[MK5001025] Riffa Consumption</v>
      </c>
      <c r="C52" s="3">
        <f t="shared" si="1"/>
        <v>45942</v>
      </c>
      <c r="D52" t="s">
        <v>93</v>
      </c>
      <c r="E52" s="4">
        <v>40</v>
      </c>
    </row>
    <row r="53" spans="1:5" x14ac:dyDescent="0.2">
      <c r="A53" t="str">
        <f t="shared" si="1"/>
        <v>MK/MO/07017</v>
      </c>
      <c r="B53" t="str">
        <f t="shared" si="1"/>
        <v>[MK5001025] Riffa Consumption</v>
      </c>
      <c r="C53" s="3">
        <f t="shared" si="1"/>
        <v>45942</v>
      </c>
      <c r="D53" t="s">
        <v>94</v>
      </c>
      <c r="E53" s="4">
        <v>5</v>
      </c>
    </row>
    <row r="54" spans="1:5" x14ac:dyDescent="0.2">
      <c r="A54" t="str">
        <f t="shared" si="1"/>
        <v>MK/MO/07017</v>
      </c>
      <c r="B54" t="str">
        <f t="shared" si="1"/>
        <v>[MK5001025] Riffa Consumption</v>
      </c>
      <c r="C54" s="3">
        <f t="shared" si="1"/>
        <v>45942</v>
      </c>
      <c r="D54" t="s">
        <v>95</v>
      </c>
      <c r="E54" s="4">
        <v>1</v>
      </c>
    </row>
    <row r="55" spans="1:5" x14ac:dyDescent="0.2">
      <c r="A55" t="str">
        <f t="shared" si="1"/>
        <v>MK/MO/07017</v>
      </c>
      <c r="B55" t="str">
        <f t="shared" si="1"/>
        <v>[MK5001025] Riffa Consumption</v>
      </c>
      <c r="C55" s="3">
        <f t="shared" si="1"/>
        <v>45942</v>
      </c>
      <c r="D55" t="s">
        <v>97</v>
      </c>
      <c r="E55" s="4">
        <v>3</v>
      </c>
    </row>
    <row r="56" spans="1:5" x14ac:dyDescent="0.2">
      <c r="A56" t="str">
        <f t="shared" si="1"/>
        <v>MK/MO/07017</v>
      </c>
      <c r="B56" t="str">
        <f t="shared" si="1"/>
        <v>[MK5001025] Riffa Consumption</v>
      </c>
      <c r="C56" s="3">
        <f t="shared" si="1"/>
        <v>45942</v>
      </c>
      <c r="D56" t="s">
        <v>34</v>
      </c>
      <c r="E56" s="4">
        <v>1</v>
      </c>
    </row>
    <row r="57" spans="1:5" x14ac:dyDescent="0.2">
      <c r="A57" t="str">
        <f t="shared" si="1"/>
        <v>MK/MO/07017</v>
      </c>
      <c r="B57" t="str">
        <f t="shared" si="1"/>
        <v>[MK5001025] Riffa Consumption</v>
      </c>
      <c r="C57" s="3">
        <f t="shared" si="1"/>
        <v>45942</v>
      </c>
      <c r="D57" t="s">
        <v>49</v>
      </c>
      <c r="E57" s="4">
        <v>1</v>
      </c>
    </row>
    <row r="58" spans="1:5" x14ac:dyDescent="0.2">
      <c r="A58" t="str">
        <f t="shared" si="1"/>
        <v>MK/MO/07017</v>
      </c>
      <c r="B58" t="str">
        <f t="shared" si="1"/>
        <v>[MK5001025] Riffa Consumption</v>
      </c>
      <c r="C58" s="3">
        <f t="shared" si="1"/>
        <v>45942</v>
      </c>
      <c r="D58" t="s">
        <v>98</v>
      </c>
      <c r="E58" s="4">
        <v>1</v>
      </c>
    </row>
    <row r="59" spans="1:5" x14ac:dyDescent="0.2">
      <c r="A59" t="str">
        <f t="shared" si="1"/>
        <v>MK/MO/07017</v>
      </c>
      <c r="B59" t="str">
        <f t="shared" si="1"/>
        <v>[MK5001025] Riffa Consumption</v>
      </c>
      <c r="C59" s="3">
        <f t="shared" si="1"/>
        <v>45942</v>
      </c>
      <c r="D59" t="s">
        <v>100</v>
      </c>
      <c r="E59" s="4">
        <v>1</v>
      </c>
    </row>
    <row r="60" spans="1:5" x14ac:dyDescent="0.2">
      <c r="A60" t="str">
        <f t="shared" si="1"/>
        <v>MK/MO/07017</v>
      </c>
      <c r="B60" t="str">
        <f t="shared" si="1"/>
        <v>[MK5001025] Riffa Consumption</v>
      </c>
      <c r="C60" s="3">
        <f t="shared" si="1"/>
        <v>45942</v>
      </c>
      <c r="D60" t="s">
        <v>102</v>
      </c>
      <c r="E60" s="4">
        <v>1</v>
      </c>
    </row>
    <row r="61" spans="1:5" x14ac:dyDescent="0.2">
      <c r="A61" t="str">
        <f t="shared" si="1"/>
        <v>MK/MO/07017</v>
      </c>
      <c r="B61" t="str">
        <f t="shared" si="1"/>
        <v>[MK5001025] Riffa Consumption</v>
      </c>
      <c r="C61" s="3">
        <f t="shared" si="1"/>
        <v>45942</v>
      </c>
      <c r="D61" t="s">
        <v>103</v>
      </c>
      <c r="E61" s="4">
        <v>1</v>
      </c>
    </row>
    <row r="62" spans="1:5" x14ac:dyDescent="0.2">
      <c r="A62" t="str">
        <f t="shared" si="1"/>
        <v>MK/MO/07017</v>
      </c>
      <c r="B62" t="str">
        <f t="shared" si="1"/>
        <v>[MK5001025] Riffa Consumption</v>
      </c>
      <c r="C62" s="3">
        <f t="shared" si="1"/>
        <v>45942</v>
      </c>
      <c r="D62" t="s">
        <v>104</v>
      </c>
      <c r="E62" s="4">
        <v>0.5</v>
      </c>
    </row>
    <row r="63" spans="1:5" x14ac:dyDescent="0.2">
      <c r="A63" t="str">
        <f t="shared" si="1"/>
        <v>MK/MO/07017</v>
      </c>
      <c r="B63" t="str">
        <f t="shared" si="1"/>
        <v>[MK5001025] Riffa Consumption</v>
      </c>
      <c r="C63" s="3">
        <f t="shared" si="1"/>
        <v>45942</v>
      </c>
      <c r="D63" t="s">
        <v>63</v>
      </c>
      <c r="E63" s="4">
        <v>0.1</v>
      </c>
    </row>
    <row r="64" spans="1:5" x14ac:dyDescent="0.2">
      <c r="A64" t="str">
        <f t="shared" si="1"/>
        <v>MK/MO/07017</v>
      </c>
      <c r="B64" t="str">
        <f t="shared" si="1"/>
        <v>[MK5001025] Riffa Consumption</v>
      </c>
      <c r="C64" s="3">
        <f t="shared" si="1"/>
        <v>45942</v>
      </c>
      <c r="D64" t="s">
        <v>65</v>
      </c>
      <c r="E64" s="4">
        <v>2</v>
      </c>
    </row>
    <row r="65" spans="1:5" x14ac:dyDescent="0.2">
      <c r="A65" t="str">
        <f t="shared" si="1"/>
        <v>MK/MO/07017</v>
      </c>
      <c r="B65" t="str">
        <f t="shared" si="1"/>
        <v>[MK5001025] Riffa Consumption</v>
      </c>
      <c r="C65" s="3">
        <f t="shared" si="1"/>
        <v>45942</v>
      </c>
      <c r="D65" t="s">
        <v>68</v>
      </c>
      <c r="E65" s="4">
        <v>2</v>
      </c>
    </row>
    <row r="66" spans="1:5" x14ac:dyDescent="0.2">
      <c r="A66" t="str">
        <f t="shared" si="1"/>
        <v>MK/MO/07017</v>
      </c>
      <c r="B66" t="str">
        <f t="shared" si="1"/>
        <v>[MK5001025] Riffa Consumption</v>
      </c>
      <c r="C66" s="3">
        <f t="shared" si="1"/>
        <v>45942</v>
      </c>
      <c r="D66" t="s">
        <v>69</v>
      </c>
      <c r="E66" s="4">
        <v>1</v>
      </c>
    </row>
    <row r="67" spans="1:5" x14ac:dyDescent="0.2">
      <c r="A67" t="str">
        <f t="shared" si="1"/>
        <v>MK/MO/07017</v>
      </c>
      <c r="B67" t="str">
        <f t="shared" si="1"/>
        <v>[MK5001025] Riffa Consumption</v>
      </c>
      <c r="C67" s="3">
        <f t="shared" si="1"/>
        <v>45942</v>
      </c>
      <c r="D67" t="s">
        <v>72</v>
      </c>
      <c r="E67" s="4">
        <v>3</v>
      </c>
    </row>
    <row r="68" spans="1:5" x14ac:dyDescent="0.2">
      <c r="A68" t="str">
        <f t="shared" si="1"/>
        <v>MK/MO/07017</v>
      </c>
      <c r="B68" t="str">
        <f t="shared" si="1"/>
        <v>[MK5001025] Riffa Consumption</v>
      </c>
      <c r="C68" s="3">
        <f t="shared" si="1"/>
        <v>45942</v>
      </c>
      <c r="D68" t="s">
        <v>73</v>
      </c>
      <c r="E68" s="4">
        <v>1</v>
      </c>
    </row>
    <row r="69" spans="1:5" x14ac:dyDescent="0.2">
      <c r="A69" t="str">
        <f t="shared" si="1"/>
        <v>MK/MO/07017</v>
      </c>
      <c r="B69" t="str">
        <f t="shared" si="1"/>
        <v>[MK5001025] Riffa Consumption</v>
      </c>
      <c r="C69" s="3">
        <f t="shared" si="1"/>
        <v>45942</v>
      </c>
      <c r="D69" t="s">
        <v>77</v>
      </c>
      <c r="E69" s="4">
        <v>2</v>
      </c>
    </row>
    <row r="70" spans="1:5" x14ac:dyDescent="0.2">
      <c r="A70" t="str">
        <f t="shared" si="1"/>
        <v>MK/MO/07017</v>
      </c>
      <c r="B70" t="str">
        <f t="shared" si="1"/>
        <v>[MK5001025] Riffa Consumption</v>
      </c>
      <c r="C70" s="3">
        <f t="shared" si="1"/>
        <v>45942</v>
      </c>
      <c r="D70" t="s">
        <v>105</v>
      </c>
      <c r="E70" s="4">
        <v>1</v>
      </c>
    </row>
    <row r="71" spans="1:5" x14ac:dyDescent="0.2">
      <c r="A71" t="str">
        <f t="shared" si="1"/>
        <v>MK/MO/07017</v>
      </c>
      <c r="B71" t="str">
        <f t="shared" si="1"/>
        <v>[MK5001025] Riffa Consumption</v>
      </c>
      <c r="C71" s="3">
        <f t="shared" si="1"/>
        <v>45942</v>
      </c>
      <c r="D71" t="s">
        <v>81</v>
      </c>
      <c r="E71" s="4">
        <v>1</v>
      </c>
    </row>
    <row r="72" spans="1:5" x14ac:dyDescent="0.2">
      <c r="A72" t="str">
        <f t="shared" si="1"/>
        <v>MK/MO/07017</v>
      </c>
      <c r="B72" t="str">
        <f t="shared" si="1"/>
        <v>[MK5001025] Riffa Consumption</v>
      </c>
      <c r="C72" s="3">
        <f t="shared" si="1"/>
        <v>45942</v>
      </c>
      <c r="D72" t="s">
        <v>106</v>
      </c>
      <c r="E72" s="4">
        <v>1</v>
      </c>
    </row>
    <row r="73" spans="1:5" x14ac:dyDescent="0.2">
      <c r="A73" t="s">
        <v>107</v>
      </c>
      <c r="B73" t="s">
        <v>119</v>
      </c>
      <c r="C73" s="3">
        <v>45942</v>
      </c>
      <c r="D73" t="s">
        <v>108</v>
      </c>
      <c r="E73" s="4">
        <v>3</v>
      </c>
    </row>
    <row r="74" spans="1:5" x14ac:dyDescent="0.2">
      <c r="A74" t="str">
        <f t="shared" ref="A74:C77" si="2">A73</f>
        <v>MK/MO/07018</v>
      </c>
      <c r="B74" t="str">
        <f t="shared" si="2"/>
        <v>[MK5001001] Maameer General Consumption</v>
      </c>
      <c r="C74" s="3">
        <f t="shared" si="2"/>
        <v>45942</v>
      </c>
      <c r="D74" t="s">
        <v>111</v>
      </c>
      <c r="E74" s="4">
        <v>2</v>
      </c>
    </row>
    <row r="75" spans="1:5" x14ac:dyDescent="0.2">
      <c r="A75" t="str">
        <f t="shared" si="2"/>
        <v>MK/MO/07018</v>
      </c>
      <c r="B75" t="str">
        <f t="shared" si="2"/>
        <v>[MK5001001] Maameer General Consumption</v>
      </c>
      <c r="C75" s="3">
        <f t="shared" si="2"/>
        <v>45942</v>
      </c>
      <c r="D75" t="s">
        <v>113</v>
      </c>
      <c r="E75" s="4">
        <v>2</v>
      </c>
    </row>
    <row r="76" spans="1:5" x14ac:dyDescent="0.2">
      <c r="A76" t="str">
        <f t="shared" si="2"/>
        <v>MK/MO/07018</v>
      </c>
      <c r="B76" t="str">
        <f t="shared" si="2"/>
        <v>[MK5001001] Maameer General Consumption</v>
      </c>
      <c r="C76" s="3">
        <f t="shared" si="2"/>
        <v>45942</v>
      </c>
      <c r="D76" t="s">
        <v>115</v>
      </c>
      <c r="E76" s="4">
        <v>4</v>
      </c>
    </row>
    <row r="77" spans="1:5" x14ac:dyDescent="0.2">
      <c r="A77" t="str">
        <f t="shared" si="2"/>
        <v>MK/MO/07018</v>
      </c>
      <c r="B77" t="str">
        <f t="shared" si="2"/>
        <v>[MK5001001] Maameer General Consumption</v>
      </c>
      <c r="C77" s="3">
        <f t="shared" si="2"/>
        <v>45942</v>
      </c>
      <c r="D77" t="s">
        <v>117</v>
      </c>
      <c r="E77" s="4">
        <v>1</v>
      </c>
    </row>
    <row r="78" spans="1:5" x14ac:dyDescent="0.2">
      <c r="A78" t="s">
        <v>120</v>
      </c>
      <c r="B78" t="s">
        <v>146</v>
      </c>
      <c r="C78" s="3">
        <v>45942</v>
      </c>
      <c r="D78" t="s">
        <v>121</v>
      </c>
      <c r="E78" s="4">
        <v>8</v>
      </c>
    </row>
    <row r="79" spans="1:5" x14ac:dyDescent="0.2">
      <c r="A79" t="str">
        <f t="shared" ref="A79:C110" si="3">A78</f>
        <v>MK/MO/06984</v>
      </c>
      <c r="B79" t="str">
        <f t="shared" si="3"/>
        <v>[MK5001026] Jau Consumption</v>
      </c>
      <c r="C79" s="3">
        <f t="shared" si="3"/>
        <v>45942</v>
      </c>
      <c r="D79" t="s">
        <v>122</v>
      </c>
      <c r="E79" s="4">
        <v>30</v>
      </c>
    </row>
    <row r="80" spans="1:5" x14ac:dyDescent="0.2">
      <c r="A80" t="str">
        <f t="shared" si="3"/>
        <v>MK/MO/06984</v>
      </c>
      <c r="B80" t="str">
        <f t="shared" si="3"/>
        <v>[MK5001026] Jau Consumption</v>
      </c>
      <c r="C80" s="3">
        <f t="shared" si="3"/>
        <v>45942</v>
      </c>
      <c r="D80" t="s">
        <v>11</v>
      </c>
      <c r="E80" s="4">
        <v>12</v>
      </c>
    </row>
    <row r="81" spans="1:5" x14ac:dyDescent="0.2">
      <c r="A81" t="str">
        <f t="shared" si="3"/>
        <v>MK/MO/06984</v>
      </c>
      <c r="B81" t="str">
        <f t="shared" si="3"/>
        <v>[MK5001026] Jau Consumption</v>
      </c>
      <c r="C81" s="3">
        <f t="shared" si="3"/>
        <v>45942</v>
      </c>
      <c r="D81" t="s">
        <v>92</v>
      </c>
      <c r="E81" s="4">
        <v>3</v>
      </c>
    </row>
    <row r="82" spans="1:5" x14ac:dyDescent="0.2">
      <c r="A82" t="str">
        <f t="shared" si="3"/>
        <v>MK/MO/06984</v>
      </c>
      <c r="B82" t="str">
        <f t="shared" si="3"/>
        <v>[MK5001026] Jau Consumption</v>
      </c>
      <c r="C82" s="3">
        <f t="shared" si="3"/>
        <v>45942</v>
      </c>
      <c r="D82" t="s">
        <v>93</v>
      </c>
      <c r="E82" s="4">
        <v>6</v>
      </c>
    </row>
    <row r="83" spans="1:5" x14ac:dyDescent="0.2">
      <c r="A83" t="str">
        <f t="shared" si="3"/>
        <v>MK/MO/06984</v>
      </c>
      <c r="B83" t="str">
        <f t="shared" si="3"/>
        <v>[MK5001026] Jau Consumption</v>
      </c>
      <c r="C83" s="3">
        <f t="shared" si="3"/>
        <v>45942</v>
      </c>
      <c r="D83" t="s">
        <v>123</v>
      </c>
      <c r="E83" s="4">
        <v>3</v>
      </c>
    </row>
    <row r="84" spans="1:5" x14ac:dyDescent="0.2">
      <c r="A84" t="str">
        <f t="shared" si="3"/>
        <v>MK/MO/06984</v>
      </c>
      <c r="B84" t="str">
        <f t="shared" si="3"/>
        <v>[MK5001026] Jau Consumption</v>
      </c>
      <c r="C84" s="3">
        <f t="shared" si="3"/>
        <v>45942</v>
      </c>
      <c r="D84" t="s">
        <v>124</v>
      </c>
      <c r="E84" s="4">
        <v>20</v>
      </c>
    </row>
    <row r="85" spans="1:5" x14ac:dyDescent="0.2">
      <c r="A85" t="str">
        <f t="shared" si="3"/>
        <v>MK/MO/06984</v>
      </c>
      <c r="B85" t="str">
        <f t="shared" si="3"/>
        <v>[MK5001026] Jau Consumption</v>
      </c>
      <c r="C85" s="3">
        <f t="shared" si="3"/>
        <v>45942</v>
      </c>
      <c r="D85" t="s">
        <v>125</v>
      </c>
      <c r="E85" s="4">
        <v>1</v>
      </c>
    </row>
    <row r="86" spans="1:5" x14ac:dyDescent="0.2">
      <c r="A86" t="str">
        <f t="shared" si="3"/>
        <v>MK/MO/06984</v>
      </c>
      <c r="B86" t="str">
        <f t="shared" si="3"/>
        <v>[MK5001026] Jau Consumption</v>
      </c>
      <c r="C86" s="3">
        <f t="shared" si="3"/>
        <v>45942</v>
      </c>
      <c r="D86" t="s">
        <v>25</v>
      </c>
      <c r="E86" s="4">
        <v>2</v>
      </c>
    </row>
    <row r="87" spans="1:5" x14ac:dyDescent="0.2">
      <c r="A87" t="str">
        <f t="shared" si="3"/>
        <v>MK/MO/06984</v>
      </c>
      <c r="B87" t="str">
        <f t="shared" si="3"/>
        <v>[MK5001026] Jau Consumption</v>
      </c>
      <c r="C87" s="3">
        <f t="shared" si="3"/>
        <v>45942</v>
      </c>
      <c r="D87" t="s">
        <v>28</v>
      </c>
      <c r="E87" s="4">
        <v>2</v>
      </c>
    </row>
    <row r="88" spans="1:5" x14ac:dyDescent="0.2">
      <c r="A88" t="str">
        <f t="shared" si="3"/>
        <v>MK/MO/06984</v>
      </c>
      <c r="B88" t="str">
        <f t="shared" si="3"/>
        <v>[MK5001026] Jau Consumption</v>
      </c>
      <c r="C88" s="3">
        <f t="shared" si="3"/>
        <v>45942</v>
      </c>
      <c r="D88" t="s">
        <v>126</v>
      </c>
      <c r="E88" s="4">
        <v>2</v>
      </c>
    </row>
    <row r="89" spans="1:5" x14ac:dyDescent="0.2">
      <c r="A89" t="str">
        <f t="shared" si="3"/>
        <v>MK/MO/06984</v>
      </c>
      <c r="B89" t="str">
        <f t="shared" si="3"/>
        <v>[MK5001026] Jau Consumption</v>
      </c>
      <c r="C89" s="3">
        <f t="shared" si="3"/>
        <v>45942</v>
      </c>
      <c r="D89" t="s">
        <v>30</v>
      </c>
      <c r="E89" s="4">
        <v>5</v>
      </c>
    </row>
    <row r="90" spans="1:5" x14ac:dyDescent="0.2">
      <c r="A90" t="str">
        <f t="shared" si="3"/>
        <v>MK/MO/06984</v>
      </c>
      <c r="B90" t="str">
        <f t="shared" si="3"/>
        <v>[MK5001026] Jau Consumption</v>
      </c>
      <c r="C90" s="3">
        <f t="shared" si="3"/>
        <v>45942</v>
      </c>
      <c r="D90" t="s">
        <v>127</v>
      </c>
      <c r="E90" s="4">
        <v>1</v>
      </c>
    </row>
    <row r="91" spans="1:5" x14ac:dyDescent="0.2">
      <c r="A91" t="str">
        <f t="shared" si="3"/>
        <v>MK/MO/06984</v>
      </c>
      <c r="B91" t="str">
        <f t="shared" si="3"/>
        <v>[MK5001026] Jau Consumption</v>
      </c>
      <c r="C91" s="3">
        <f t="shared" si="3"/>
        <v>45942</v>
      </c>
      <c r="D91" t="s">
        <v>129</v>
      </c>
      <c r="E91" s="4">
        <v>2</v>
      </c>
    </row>
    <row r="92" spans="1:5" x14ac:dyDescent="0.2">
      <c r="A92" t="str">
        <f t="shared" si="3"/>
        <v>MK/MO/06984</v>
      </c>
      <c r="B92" t="str">
        <f t="shared" si="3"/>
        <v>[MK5001026] Jau Consumption</v>
      </c>
      <c r="C92" s="3">
        <f t="shared" si="3"/>
        <v>45942</v>
      </c>
      <c r="D92" t="s">
        <v>32</v>
      </c>
      <c r="E92" s="4">
        <v>4</v>
      </c>
    </row>
    <row r="93" spans="1:5" x14ac:dyDescent="0.2">
      <c r="A93" t="str">
        <f t="shared" si="3"/>
        <v>MK/MO/06984</v>
      </c>
      <c r="B93" t="str">
        <f t="shared" si="3"/>
        <v>[MK5001026] Jau Consumption</v>
      </c>
      <c r="C93" s="3">
        <f t="shared" si="3"/>
        <v>45942</v>
      </c>
      <c r="D93" t="s">
        <v>34</v>
      </c>
      <c r="E93" s="4">
        <v>8</v>
      </c>
    </row>
    <row r="94" spans="1:5" x14ac:dyDescent="0.2">
      <c r="A94" t="str">
        <f t="shared" si="3"/>
        <v>MK/MO/06984</v>
      </c>
      <c r="B94" t="str">
        <f t="shared" si="3"/>
        <v>[MK5001026] Jau Consumption</v>
      </c>
      <c r="C94" s="3">
        <f t="shared" si="3"/>
        <v>45942</v>
      </c>
      <c r="D94" t="s">
        <v>39</v>
      </c>
      <c r="E94" s="4">
        <v>4</v>
      </c>
    </row>
    <row r="95" spans="1:5" x14ac:dyDescent="0.2">
      <c r="A95" t="str">
        <f t="shared" si="3"/>
        <v>MK/MO/06984</v>
      </c>
      <c r="B95" t="str">
        <f t="shared" si="3"/>
        <v>[MK5001026] Jau Consumption</v>
      </c>
      <c r="C95" s="3">
        <f t="shared" si="3"/>
        <v>45942</v>
      </c>
      <c r="D95" t="s">
        <v>44</v>
      </c>
      <c r="E95" s="4">
        <v>2</v>
      </c>
    </row>
    <row r="96" spans="1:5" x14ac:dyDescent="0.2">
      <c r="A96" t="str">
        <f t="shared" si="3"/>
        <v>MK/MO/06984</v>
      </c>
      <c r="B96" t="str">
        <f t="shared" si="3"/>
        <v>[MK5001026] Jau Consumption</v>
      </c>
      <c r="C96" s="3">
        <f t="shared" si="3"/>
        <v>45942</v>
      </c>
      <c r="D96" t="s">
        <v>46</v>
      </c>
      <c r="E96" s="4">
        <v>0</v>
      </c>
    </row>
    <row r="97" spans="1:5" x14ac:dyDescent="0.2">
      <c r="A97" t="str">
        <f t="shared" si="3"/>
        <v>MK/MO/06984</v>
      </c>
      <c r="B97" t="str">
        <f t="shared" si="3"/>
        <v>[MK5001026] Jau Consumption</v>
      </c>
      <c r="C97" s="3">
        <f t="shared" si="3"/>
        <v>45942</v>
      </c>
      <c r="D97" t="s">
        <v>47</v>
      </c>
      <c r="E97" s="4">
        <v>3</v>
      </c>
    </row>
    <row r="98" spans="1:5" x14ac:dyDescent="0.2">
      <c r="A98" t="str">
        <f t="shared" si="3"/>
        <v>MK/MO/06984</v>
      </c>
      <c r="B98" t="str">
        <f t="shared" si="3"/>
        <v>[MK5001026] Jau Consumption</v>
      </c>
      <c r="C98" s="3">
        <f t="shared" si="3"/>
        <v>45942</v>
      </c>
      <c r="D98" t="s">
        <v>131</v>
      </c>
      <c r="E98" s="4">
        <v>2</v>
      </c>
    </row>
    <row r="99" spans="1:5" x14ac:dyDescent="0.2">
      <c r="A99" t="str">
        <f t="shared" si="3"/>
        <v>MK/MO/06984</v>
      </c>
      <c r="B99" t="str">
        <f t="shared" si="3"/>
        <v>[MK5001026] Jau Consumption</v>
      </c>
      <c r="C99" s="3">
        <f t="shared" si="3"/>
        <v>45942</v>
      </c>
      <c r="D99" t="s">
        <v>20</v>
      </c>
      <c r="E99" s="4">
        <v>2</v>
      </c>
    </row>
    <row r="100" spans="1:5" x14ac:dyDescent="0.2">
      <c r="A100" t="str">
        <f t="shared" si="3"/>
        <v>MK/MO/06984</v>
      </c>
      <c r="B100" t="str">
        <f t="shared" si="3"/>
        <v>[MK5001026] Jau Consumption</v>
      </c>
      <c r="C100" s="3">
        <f t="shared" si="3"/>
        <v>45942</v>
      </c>
      <c r="D100" t="s">
        <v>132</v>
      </c>
      <c r="E100" s="4">
        <v>1</v>
      </c>
    </row>
    <row r="101" spans="1:5" x14ac:dyDescent="0.2">
      <c r="A101" t="str">
        <f t="shared" si="3"/>
        <v>MK/MO/06984</v>
      </c>
      <c r="B101" t="str">
        <f t="shared" si="3"/>
        <v>[MK5001026] Jau Consumption</v>
      </c>
      <c r="C101" s="3">
        <f t="shared" si="3"/>
        <v>45942</v>
      </c>
      <c r="D101" t="s">
        <v>49</v>
      </c>
      <c r="E101" s="4">
        <v>2</v>
      </c>
    </row>
    <row r="102" spans="1:5" x14ac:dyDescent="0.2">
      <c r="A102" t="str">
        <f t="shared" si="3"/>
        <v>MK/MO/06984</v>
      </c>
      <c r="B102" t="str">
        <f t="shared" si="3"/>
        <v>[MK5001026] Jau Consumption</v>
      </c>
      <c r="C102" s="3">
        <f t="shared" si="3"/>
        <v>45942</v>
      </c>
      <c r="D102" t="s">
        <v>134</v>
      </c>
      <c r="E102" s="4">
        <v>1.5</v>
      </c>
    </row>
    <row r="103" spans="1:5" x14ac:dyDescent="0.2">
      <c r="A103" t="str">
        <f t="shared" si="3"/>
        <v>MK/MO/06984</v>
      </c>
      <c r="B103" t="str">
        <f t="shared" si="3"/>
        <v>[MK5001026] Jau Consumption</v>
      </c>
      <c r="C103" s="3">
        <f t="shared" si="3"/>
        <v>45942</v>
      </c>
      <c r="D103" t="s">
        <v>42</v>
      </c>
      <c r="E103" s="4">
        <v>4</v>
      </c>
    </row>
    <row r="104" spans="1:5" x14ac:dyDescent="0.2">
      <c r="A104" t="str">
        <f t="shared" si="3"/>
        <v>MK/MO/06984</v>
      </c>
      <c r="B104" t="str">
        <f t="shared" si="3"/>
        <v>[MK5001026] Jau Consumption</v>
      </c>
      <c r="C104" s="3">
        <f t="shared" si="3"/>
        <v>45942</v>
      </c>
      <c r="D104" t="s">
        <v>53</v>
      </c>
      <c r="E104" s="4">
        <v>0.2</v>
      </c>
    </row>
    <row r="105" spans="1:5" x14ac:dyDescent="0.2">
      <c r="A105" t="str">
        <f t="shared" si="3"/>
        <v>MK/MO/06984</v>
      </c>
      <c r="B105" t="str">
        <f t="shared" si="3"/>
        <v>[MK5001026] Jau Consumption</v>
      </c>
      <c r="C105" s="3">
        <f t="shared" si="3"/>
        <v>45942</v>
      </c>
      <c r="D105" t="s">
        <v>57</v>
      </c>
      <c r="E105" s="4">
        <v>0.4</v>
      </c>
    </row>
    <row r="106" spans="1:5" x14ac:dyDescent="0.2">
      <c r="A106" t="str">
        <f t="shared" si="3"/>
        <v>MK/MO/06984</v>
      </c>
      <c r="B106" t="str">
        <f t="shared" si="3"/>
        <v>[MK5001026] Jau Consumption</v>
      </c>
      <c r="C106" s="3">
        <f t="shared" si="3"/>
        <v>45942</v>
      </c>
      <c r="D106" t="s">
        <v>58</v>
      </c>
      <c r="E106" s="4">
        <v>1</v>
      </c>
    </row>
    <row r="107" spans="1:5" x14ac:dyDescent="0.2">
      <c r="A107" t="str">
        <f t="shared" si="3"/>
        <v>MK/MO/06984</v>
      </c>
      <c r="B107" t="str">
        <f t="shared" si="3"/>
        <v>[MK5001026] Jau Consumption</v>
      </c>
      <c r="C107" s="3">
        <f t="shared" si="3"/>
        <v>45942</v>
      </c>
      <c r="D107" t="s">
        <v>136</v>
      </c>
      <c r="E107" s="4">
        <v>0.4</v>
      </c>
    </row>
    <row r="108" spans="1:5" x14ac:dyDescent="0.2">
      <c r="A108" t="str">
        <f t="shared" si="3"/>
        <v>MK/MO/06984</v>
      </c>
      <c r="B108" t="str">
        <f t="shared" si="3"/>
        <v>[MK5001026] Jau Consumption</v>
      </c>
      <c r="C108" s="3">
        <f t="shared" si="3"/>
        <v>45942</v>
      </c>
      <c r="D108" t="s">
        <v>59</v>
      </c>
      <c r="E108" s="4">
        <v>0.1</v>
      </c>
    </row>
    <row r="109" spans="1:5" x14ac:dyDescent="0.2">
      <c r="A109" t="str">
        <f t="shared" si="3"/>
        <v>MK/MO/06984</v>
      </c>
      <c r="B109" t="str">
        <f t="shared" si="3"/>
        <v>[MK5001026] Jau Consumption</v>
      </c>
      <c r="C109" s="3">
        <f t="shared" si="3"/>
        <v>45942</v>
      </c>
      <c r="D109" t="s">
        <v>60</v>
      </c>
      <c r="E109" s="4">
        <v>1</v>
      </c>
    </row>
    <row r="110" spans="1:5" x14ac:dyDescent="0.2">
      <c r="A110" t="str">
        <f t="shared" si="3"/>
        <v>MK/MO/06984</v>
      </c>
      <c r="B110" t="str">
        <f t="shared" si="3"/>
        <v>[MK5001026] Jau Consumption</v>
      </c>
      <c r="C110" s="3">
        <f t="shared" si="3"/>
        <v>45942</v>
      </c>
      <c r="D110" t="s">
        <v>137</v>
      </c>
      <c r="E110" s="4">
        <v>1</v>
      </c>
    </row>
    <row r="111" spans="1:5" x14ac:dyDescent="0.2">
      <c r="A111" t="str">
        <f t="shared" ref="A111:C132" si="4">A110</f>
        <v>MK/MO/06984</v>
      </c>
      <c r="B111" t="str">
        <f t="shared" si="4"/>
        <v>[MK5001026] Jau Consumption</v>
      </c>
      <c r="C111" s="3">
        <f t="shared" si="4"/>
        <v>45942</v>
      </c>
      <c r="D111" t="s">
        <v>62</v>
      </c>
      <c r="E111" s="4">
        <v>0.2</v>
      </c>
    </row>
    <row r="112" spans="1:5" x14ac:dyDescent="0.2">
      <c r="A112" t="str">
        <f t="shared" si="4"/>
        <v>MK/MO/06984</v>
      </c>
      <c r="B112" t="str">
        <f t="shared" si="4"/>
        <v>[MK5001026] Jau Consumption</v>
      </c>
      <c r="C112" s="3">
        <f t="shared" si="4"/>
        <v>45942</v>
      </c>
      <c r="D112" t="s">
        <v>138</v>
      </c>
      <c r="E112" s="4">
        <v>2</v>
      </c>
    </row>
    <row r="113" spans="1:5" x14ac:dyDescent="0.2">
      <c r="A113" t="str">
        <f t="shared" si="4"/>
        <v>MK/MO/06984</v>
      </c>
      <c r="B113" t="str">
        <f t="shared" si="4"/>
        <v>[MK5001026] Jau Consumption</v>
      </c>
      <c r="C113" s="3">
        <f t="shared" si="4"/>
        <v>45942</v>
      </c>
      <c r="D113" t="s">
        <v>64</v>
      </c>
      <c r="E113" s="4">
        <v>2</v>
      </c>
    </row>
    <row r="114" spans="1:5" x14ac:dyDescent="0.2">
      <c r="A114" t="str">
        <f t="shared" si="4"/>
        <v>MK/MO/06984</v>
      </c>
      <c r="B114" t="str">
        <f t="shared" si="4"/>
        <v>[MK5001026] Jau Consumption</v>
      </c>
      <c r="C114" s="3">
        <f t="shared" si="4"/>
        <v>45942</v>
      </c>
      <c r="D114" t="s">
        <v>65</v>
      </c>
      <c r="E114" s="4">
        <v>3</v>
      </c>
    </row>
    <row r="115" spans="1:5" x14ac:dyDescent="0.2">
      <c r="A115" t="str">
        <f t="shared" si="4"/>
        <v>MK/MO/06984</v>
      </c>
      <c r="B115" t="str">
        <f t="shared" si="4"/>
        <v>[MK5001026] Jau Consumption</v>
      </c>
      <c r="C115" s="3">
        <f t="shared" si="4"/>
        <v>45942</v>
      </c>
      <c r="D115" t="s">
        <v>66</v>
      </c>
      <c r="E115" s="4">
        <v>1</v>
      </c>
    </row>
    <row r="116" spans="1:5" x14ac:dyDescent="0.2">
      <c r="A116" t="str">
        <f t="shared" si="4"/>
        <v>MK/MO/06984</v>
      </c>
      <c r="B116" t="str">
        <f t="shared" si="4"/>
        <v>[MK5001026] Jau Consumption</v>
      </c>
      <c r="C116" s="3">
        <f t="shared" si="4"/>
        <v>45942</v>
      </c>
      <c r="D116" t="s">
        <v>67</v>
      </c>
      <c r="E116" s="4">
        <v>2</v>
      </c>
    </row>
    <row r="117" spans="1:5" x14ac:dyDescent="0.2">
      <c r="A117" t="str">
        <f t="shared" si="4"/>
        <v>MK/MO/06984</v>
      </c>
      <c r="B117" t="str">
        <f t="shared" si="4"/>
        <v>[MK5001026] Jau Consumption</v>
      </c>
      <c r="C117" s="3">
        <f t="shared" si="4"/>
        <v>45942</v>
      </c>
      <c r="D117" t="s">
        <v>68</v>
      </c>
      <c r="E117" s="4">
        <v>0</v>
      </c>
    </row>
    <row r="118" spans="1:5" x14ac:dyDescent="0.2">
      <c r="A118" t="str">
        <f t="shared" si="4"/>
        <v>MK/MO/06984</v>
      </c>
      <c r="B118" t="str">
        <f t="shared" si="4"/>
        <v>[MK5001026] Jau Consumption</v>
      </c>
      <c r="C118" s="3">
        <f t="shared" si="4"/>
        <v>45942</v>
      </c>
      <c r="D118" t="s">
        <v>69</v>
      </c>
      <c r="E118" s="4">
        <v>1</v>
      </c>
    </row>
    <row r="119" spans="1:5" x14ac:dyDescent="0.2">
      <c r="A119" t="str">
        <f t="shared" si="4"/>
        <v>MK/MO/06984</v>
      </c>
      <c r="B119" t="str">
        <f t="shared" si="4"/>
        <v>[MK5001026] Jau Consumption</v>
      </c>
      <c r="C119" s="3">
        <f t="shared" si="4"/>
        <v>45942</v>
      </c>
      <c r="D119" t="s">
        <v>70</v>
      </c>
      <c r="E119" s="4">
        <v>1</v>
      </c>
    </row>
    <row r="120" spans="1:5" x14ac:dyDescent="0.2">
      <c r="A120" t="str">
        <f t="shared" si="4"/>
        <v>MK/MO/06984</v>
      </c>
      <c r="B120" t="str">
        <f t="shared" si="4"/>
        <v>[MK5001026] Jau Consumption</v>
      </c>
      <c r="C120" s="3">
        <f t="shared" si="4"/>
        <v>45942</v>
      </c>
      <c r="D120" t="s">
        <v>71</v>
      </c>
      <c r="E120" s="4">
        <v>3</v>
      </c>
    </row>
    <row r="121" spans="1:5" x14ac:dyDescent="0.2">
      <c r="A121" t="str">
        <f t="shared" si="4"/>
        <v>MK/MO/06984</v>
      </c>
      <c r="B121" t="str">
        <f t="shared" si="4"/>
        <v>[MK5001026] Jau Consumption</v>
      </c>
      <c r="C121" s="3">
        <f t="shared" si="4"/>
        <v>45942</v>
      </c>
      <c r="D121" t="s">
        <v>72</v>
      </c>
      <c r="E121" s="4">
        <v>8</v>
      </c>
    </row>
    <row r="122" spans="1:5" x14ac:dyDescent="0.2">
      <c r="A122" t="str">
        <f t="shared" si="4"/>
        <v>MK/MO/06984</v>
      </c>
      <c r="B122" t="str">
        <f t="shared" si="4"/>
        <v>[MK5001026] Jau Consumption</v>
      </c>
      <c r="C122" s="3">
        <f t="shared" si="4"/>
        <v>45942</v>
      </c>
      <c r="D122" t="s">
        <v>103</v>
      </c>
      <c r="E122" s="4">
        <v>0.5</v>
      </c>
    </row>
    <row r="123" spans="1:5" x14ac:dyDescent="0.2">
      <c r="A123" t="str">
        <f t="shared" si="4"/>
        <v>MK/MO/06984</v>
      </c>
      <c r="B123" t="str">
        <f t="shared" si="4"/>
        <v>[MK5001026] Jau Consumption</v>
      </c>
      <c r="C123" s="3">
        <f t="shared" si="4"/>
        <v>45942</v>
      </c>
      <c r="D123" t="s">
        <v>61</v>
      </c>
      <c r="E123" s="4">
        <v>2</v>
      </c>
    </row>
    <row r="124" spans="1:5" x14ac:dyDescent="0.2">
      <c r="A124" t="str">
        <f t="shared" si="4"/>
        <v>MK/MO/06984</v>
      </c>
      <c r="B124" t="str">
        <f t="shared" si="4"/>
        <v>[MK5001026] Jau Consumption</v>
      </c>
      <c r="C124" s="3">
        <f t="shared" si="4"/>
        <v>45942</v>
      </c>
      <c r="D124" t="s">
        <v>104</v>
      </c>
      <c r="E124" s="4">
        <v>1</v>
      </c>
    </row>
    <row r="125" spans="1:5" x14ac:dyDescent="0.2">
      <c r="A125" t="str">
        <f t="shared" si="4"/>
        <v>MK/MO/06984</v>
      </c>
      <c r="B125" t="str">
        <f t="shared" si="4"/>
        <v>[MK5001026] Jau Consumption</v>
      </c>
      <c r="C125" s="3">
        <f t="shared" si="4"/>
        <v>45942</v>
      </c>
      <c r="D125" t="s">
        <v>75</v>
      </c>
      <c r="E125" s="4">
        <v>1</v>
      </c>
    </row>
    <row r="126" spans="1:5" x14ac:dyDescent="0.2">
      <c r="A126" t="str">
        <f t="shared" si="4"/>
        <v>MK/MO/06984</v>
      </c>
      <c r="B126" t="str">
        <f t="shared" si="4"/>
        <v>[MK5001026] Jau Consumption</v>
      </c>
      <c r="C126" s="3">
        <f t="shared" si="4"/>
        <v>45942</v>
      </c>
      <c r="D126" t="s">
        <v>139</v>
      </c>
      <c r="E126" s="4">
        <v>3</v>
      </c>
    </row>
    <row r="127" spans="1:5" x14ac:dyDescent="0.2">
      <c r="A127" t="str">
        <f t="shared" si="4"/>
        <v>MK/MO/06984</v>
      </c>
      <c r="B127" t="str">
        <f t="shared" si="4"/>
        <v>[MK5001026] Jau Consumption</v>
      </c>
      <c r="C127" s="3">
        <f t="shared" si="4"/>
        <v>45942</v>
      </c>
      <c r="D127" t="s">
        <v>105</v>
      </c>
      <c r="E127" s="4">
        <v>2</v>
      </c>
    </row>
    <row r="128" spans="1:5" x14ac:dyDescent="0.2">
      <c r="A128" t="str">
        <f t="shared" si="4"/>
        <v>MK/MO/06984</v>
      </c>
      <c r="B128" t="str">
        <f t="shared" si="4"/>
        <v>[MK5001026] Jau Consumption</v>
      </c>
      <c r="C128" s="3">
        <f t="shared" si="4"/>
        <v>45942</v>
      </c>
      <c r="D128" t="s">
        <v>81</v>
      </c>
      <c r="E128" s="4">
        <v>2</v>
      </c>
    </row>
    <row r="129" spans="1:5" x14ac:dyDescent="0.2">
      <c r="A129" t="str">
        <f t="shared" si="4"/>
        <v>MK/MO/06984</v>
      </c>
      <c r="B129" t="str">
        <f t="shared" si="4"/>
        <v>[MK5001026] Jau Consumption</v>
      </c>
      <c r="C129" s="3">
        <f t="shared" si="4"/>
        <v>45942</v>
      </c>
      <c r="D129" t="s">
        <v>106</v>
      </c>
      <c r="E129" s="4">
        <v>2</v>
      </c>
    </row>
    <row r="130" spans="1:5" x14ac:dyDescent="0.2">
      <c r="A130" t="str">
        <f t="shared" si="4"/>
        <v>MK/MO/06984</v>
      </c>
      <c r="B130" t="str">
        <f t="shared" si="4"/>
        <v>[MK5001026] Jau Consumption</v>
      </c>
      <c r="C130" s="3">
        <f t="shared" si="4"/>
        <v>45942</v>
      </c>
      <c r="D130" t="s">
        <v>141</v>
      </c>
      <c r="E130" s="4">
        <v>30</v>
      </c>
    </row>
    <row r="131" spans="1:5" x14ac:dyDescent="0.2">
      <c r="A131" t="str">
        <f t="shared" si="4"/>
        <v>MK/MO/06984</v>
      </c>
      <c r="B131" t="str">
        <f t="shared" si="4"/>
        <v>[MK5001026] Jau Consumption</v>
      </c>
      <c r="C131" s="3">
        <f t="shared" si="4"/>
        <v>45942</v>
      </c>
      <c r="D131" t="s">
        <v>142</v>
      </c>
      <c r="E131" s="4">
        <v>15</v>
      </c>
    </row>
    <row r="132" spans="1:5" x14ac:dyDescent="0.2">
      <c r="A132" t="str">
        <f t="shared" si="4"/>
        <v>MK/MO/06984</v>
      </c>
      <c r="B132" t="str">
        <f t="shared" si="4"/>
        <v>[MK5001026] Jau Consumption</v>
      </c>
      <c r="C132" s="3">
        <f t="shared" si="4"/>
        <v>45942</v>
      </c>
      <c r="D132" t="s">
        <v>144</v>
      </c>
      <c r="E132" s="4">
        <v>13.5</v>
      </c>
    </row>
    <row r="133" spans="1:5" x14ac:dyDescent="0.2">
      <c r="A133" t="s">
        <v>147</v>
      </c>
      <c r="B133" t="s">
        <v>85</v>
      </c>
      <c r="C133" s="3">
        <v>45942</v>
      </c>
      <c r="D133" t="s">
        <v>148</v>
      </c>
      <c r="E133" s="4">
        <v>1</v>
      </c>
    </row>
    <row r="134" spans="1:5" x14ac:dyDescent="0.2">
      <c r="A134" t="str">
        <f t="shared" ref="A134:C138" si="5">A133</f>
        <v>MK/MO/07019</v>
      </c>
      <c r="B134" t="str">
        <f t="shared" si="5"/>
        <v>[MK5001025] Riffa Consumption</v>
      </c>
      <c r="C134" s="3">
        <f t="shared" si="5"/>
        <v>45942</v>
      </c>
      <c r="D134" t="s">
        <v>150</v>
      </c>
      <c r="E134" s="4">
        <v>2</v>
      </c>
    </row>
    <row r="135" spans="1:5" x14ac:dyDescent="0.2">
      <c r="A135" t="str">
        <f t="shared" si="5"/>
        <v>MK/MO/07019</v>
      </c>
      <c r="B135" t="str">
        <f t="shared" si="5"/>
        <v>[MK5001025] Riffa Consumption</v>
      </c>
      <c r="C135" s="3">
        <f t="shared" si="5"/>
        <v>45942</v>
      </c>
      <c r="D135" t="s">
        <v>151</v>
      </c>
      <c r="E135" s="4">
        <v>1</v>
      </c>
    </row>
    <row r="136" spans="1:5" x14ac:dyDescent="0.2">
      <c r="A136" t="str">
        <f t="shared" si="5"/>
        <v>MK/MO/07019</v>
      </c>
      <c r="B136" t="str">
        <f t="shared" si="5"/>
        <v>[MK5001025] Riffa Consumption</v>
      </c>
      <c r="C136" s="3">
        <f t="shared" si="5"/>
        <v>45942</v>
      </c>
      <c r="D136" t="s">
        <v>157</v>
      </c>
      <c r="E136" s="4">
        <v>0</v>
      </c>
    </row>
    <row r="137" spans="1:5" x14ac:dyDescent="0.2">
      <c r="A137" t="str">
        <f t="shared" si="5"/>
        <v>MK/MO/07019</v>
      </c>
      <c r="B137" t="str">
        <f t="shared" si="5"/>
        <v>[MK5001025] Riffa Consumption</v>
      </c>
      <c r="C137" s="3">
        <f t="shared" si="5"/>
        <v>45942</v>
      </c>
    </row>
    <row r="138" spans="1:5" x14ac:dyDescent="0.2">
      <c r="A138" t="str">
        <f t="shared" si="5"/>
        <v>MK/MO/07019</v>
      </c>
      <c r="B138" t="str">
        <f t="shared" si="5"/>
        <v>[MK5001025] Riffa Consumption</v>
      </c>
      <c r="C138" s="3">
        <f t="shared" si="5"/>
        <v>45942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stock_valuation_layer</vt:lpstr>
      <vt:lpstr>mrp_production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Adil Habeeb</cp:lastModifiedBy>
  <dcterms:created xsi:type="dcterms:W3CDTF">2025-10-14T14:57:49Z</dcterms:created>
  <dcterms:modified xsi:type="dcterms:W3CDTF">2025-10-14T16:38:21Z</dcterms:modified>
</cp:coreProperties>
</file>